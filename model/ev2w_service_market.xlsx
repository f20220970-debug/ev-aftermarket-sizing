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puts" sheetId="2" state="visible" r:id="rId4"/>
    <sheet name="Model" sheetId="3" state="visible" r:id="rId5"/>
    <sheet name="Summary" sheetId="4" state="visible" r:id="rId6"/>
    <sheet name="Sensitivit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<sst xmlns="http://schemas.openxmlformats.org/spreadsheetml/2006/main" count="167" uniqueCount="119">
  <si>
    <t xml:space="preserve">India electric two-wheeler aftermarket: market sizing, FY22-FY31</t>
  </si>
  <si>
    <t xml:space="preserve">Question</t>
  </si>
  <si>
    <t xml:space="preserve">How big is the servicing and battery-replacement market for India's electric two-wheelers, and how fast will it grow?</t>
  </si>
  <si>
    <t xml:space="preserve">Approach</t>
  </si>
  <si>
    <t xml:space="preserve">Bottom-up: vehicles sold each year (Vahan-based sources) → fleet in use after scrappage → paying vehicles x annual service spend, plus battery replacements as each year's sales reach replacement age.</t>
  </si>
  <si>
    <t xml:space="preserve">Cross-check</t>
  </si>
  <si>
    <t xml:space="preserve">Annual spend per vehicle sits inside the Rs 2,000-5,000 reported for e-scooters, about half the Rs 3,500-6,000 for a petrol scooter.</t>
  </si>
  <si>
    <t xml:space="preserve">Base answer</t>
  </si>
  <si>
    <t xml:space="preserve">Range</t>
  </si>
  <si>
    <t xml:space="preserve">Colour code</t>
  </si>
  <si>
    <t xml:space="preserve">Blue = input (sourced); blue on yellow = assumption to challenge; green = link to Inputs; black = formula.</t>
  </si>
  <si>
    <t xml:space="preserve">How to use</t>
  </si>
  <si>
    <t xml:space="preserve">Change blue cells on Inputs; everything else recalculates. Sensitivity shows FY31 size across growth and spend.</t>
  </si>
  <si>
    <t xml:space="preserve">Sources</t>
  </si>
  <si>
    <t xml:space="preserve">Argus Media, 'India's EV sales hit record high in FY2022-23' (Vahan data): E2W 252,555 units in FY2021-22.</t>
  </si>
  <si>
    <t xml:space="preserve">PIB annexure, state/month-wise E-2W registrations FY2022-23 (Vahan 4): grand total 7,28,271.</t>
  </si>
  <si>
    <t xml:space="preserve">Ministry of Heavy Industries data via Times Drive: E2W 11,49,334 units in FY25 vs 9,48,561 in FY24.</t>
  </si>
  <si>
    <t xml:space="preserve">IESA 'India's Mobility Report FY2025-26' via EV Infrastructure News: 2.55 million EV sales in FY2025-26.</t>
  </si>
  <si>
    <t xml:space="preserve">JMK Research via EV Infrastructure News: E2W nearly 58% of total EV sales in FY2025-26.</t>
  </si>
  <si>
    <t xml:space="preserve">EVreporter (Vahan, 2 Jan 2026): E2W sales 12,79,951 in CY2025, +11.4% YoY; 6.3% of all 2W sales.</t>
  </si>
  <si>
    <t xml:space="preserve">MeraEV (2026): typical annual e-scooter maintenance Rs 2,000-5,000, about half a 110cc petrol scooter (Rs 3,500-6,000).</t>
  </si>
  <si>
    <t xml:space="preserve">e-vehicleinfo / BikeLeague: e-scooter battery replacement roughly Rs 55,000-60,000.</t>
  </si>
  <si>
    <t xml:space="preserve">IESA via IANS (Jan 2026): Karnataka about 9% of national EV sales in CY2025 (all EV types).</t>
  </si>
  <si>
    <t xml:space="preserve">Inputs: sourced data (blue) and assumptions (blue on yellow)</t>
  </si>
  <si>
    <t xml:space="preserve">Historical E2W sales</t>
  </si>
  <si>
    <t xml:space="preserve">Value</t>
  </si>
  <si>
    <t xml:space="preserve">Unit</t>
  </si>
  <si>
    <t xml:space="preserve">Source</t>
  </si>
  <si>
    <t xml:space="preserve">FY22 E2W sales</t>
  </si>
  <si>
    <t xml:space="preserve">units</t>
  </si>
  <si>
    <t xml:space="preserve">FY23 E2W sales</t>
  </si>
  <si>
    <t xml:space="preserve">FY24 E2W sales</t>
  </si>
  <si>
    <t xml:space="preserve">FY25 E2W sales</t>
  </si>
  <si>
    <t xml:space="preserve">FY26 total EV sales</t>
  </si>
  <si>
    <t xml:space="preserve">FY26 E2W share of EV sales</t>
  </si>
  <si>
    <t xml:space="preserve">%</t>
  </si>
  <si>
    <t xml:space="preserve">FY26 E2W sales (estimate)</t>
  </si>
  <si>
    <t xml:space="preserve">Derived: total FY26 EV sales x E2W share (two different sources, so an estimate).</t>
  </si>
  <si>
    <t xml:space="preserve">Scenario assumptions</t>
  </si>
  <si>
    <t xml:space="preserve">Bear</t>
  </si>
  <si>
    <t xml:space="preserve">Base</t>
  </si>
  <si>
    <t xml:space="preserve">Bull</t>
  </si>
  <si>
    <t xml:space="preserve">Basis</t>
  </si>
  <si>
    <t xml:space="preserve">Annual E2W sales growth, FY27-FY31</t>
  </si>
  <si>
    <t xml:space="preserve">Assumption. Context: CY25 growth +11.4% (EVreporte), FY25 +21% (MHI).</t>
  </si>
  <si>
    <t xml:space="preserve">Service + wear-parts spend per paying vehicle (Rs/yr)</t>
  </si>
  <si>
    <t xml:space="preserve">Assumption within the Rs 2,000-5,000 range reported by MeraEV.</t>
  </si>
  <si>
    <t xml:space="preserve">Share of vehicles replacing battery at replacement age</t>
  </si>
  <si>
    <t xml:space="preserve">Assumption: many packs are covered by warranty or last longer; others are scrapped instead.</t>
  </si>
  <si>
    <t xml:space="preserve">Common assumptions</t>
  </si>
  <si>
    <t xml:space="preserve">Fleet scrappage per year</t>
  </si>
  <si>
    <t xml:space="preserve">Assumption: accidents, theft, early failures.</t>
  </si>
  <si>
    <t xml:space="preserve">Battery pack price in FY26</t>
  </si>
  <si>
    <t xml:space="preserve">Rs</t>
  </si>
  <si>
    <t xml:space="preserve">Battery price decline per year</t>
  </si>
  <si>
    <t xml:space="preserve">Assumption: falling cell costs.</t>
  </si>
  <si>
    <t xml:space="preserve">Battery replacement age</t>
  </si>
  <si>
    <t xml:space="preserve">years</t>
  </si>
  <si>
    <t xml:space="preserve">Assumption: typical warranty 3-5 years plus wear.</t>
  </si>
  <si>
    <t xml:space="preserve">Independent-garage share of spend</t>
  </si>
  <si>
    <t xml:space="preserve">Assumption: rest goes to OEM service networks.</t>
  </si>
  <si>
    <t xml:space="preserve">Karnataka share of national market</t>
  </si>
  <si>
    <t xml:space="preserve">IESA via IANS (Jan 2026): Karnataka about 9% of national EV sales in CY2025 (all EV types). Used as a proxy.</t>
  </si>
  <si>
    <t xml:space="preserve">Pre-FY22 E2W fleet is excluded (small: high-speed E2W sales before FY22 were a fraction of FY22's).</t>
  </si>
  <si>
    <t xml:space="preserve">Model: fleet and aftermarket by scenario (all formulas)</t>
  </si>
  <si>
    <t xml:space="preserve">Fiscal year</t>
  </si>
  <si>
    <t xml:space="preserve">Bear scenario</t>
  </si>
  <si>
    <t xml:space="preserve">E2W sales (units)</t>
  </si>
  <si>
    <t xml:space="preserve">Fleet in use, year end (units)</t>
  </si>
  <si>
    <t xml:space="preserve">Paying fleet (units)</t>
  </si>
  <si>
    <t xml:space="preserve">Service + wear-parts market (Rs Cr)</t>
  </si>
  <si>
    <t xml:space="preserve">Battery replacements (units)</t>
  </si>
  <si>
    <t xml:space="preserve">Battery pack price (Rs)</t>
  </si>
  <si>
    <t xml:space="preserve">Battery replacement market (Rs Cr)</t>
  </si>
  <si>
    <t xml:space="preserve">Total aftermarket (Rs Cr)</t>
  </si>
  <si>
    <t xml:space="preserve">Independent-garage addressable (Rs Cr)</t>
  </si>
  <si>
    <t xml:space="preserve">Karnataka market (Rs Cr)</t>
  </si>
  <si>
    <t xml:space="preserve">Battery share of total</t>
  </si>
  <si>
    <t xml:space="preserve">Base scenario</t>
  </si>
  <si>
    <t xml:space="preserve">Bull scenario</t>
  </si>
  <si>
    <t xml:space="preserve">Green = linked from Inputs; black = calculated. Rs Cr = Rs crore (10 million rupees).</t>
  </si>
  <si>
    <t xml:space="preserve">Summary: India E2W aftermarket</t>
  </si>
  <si>
    <t xml:space="preserve">Metric</t>
  </si>
  <si>
    <t xml:space="preserve">Total aftermarket FY26 (Rs Cr)</t>
  </si>
  <si>
    <t xml:space="preserve">Total aftermarket FY31 (Rs Cr)</t>
  </si>
  <si>
    <t xml:space="preserve">CAGR FY26-FY31</t>
  </si>
  <si>
    <t xml:space="preserve">Fleet in use FY31 (million)</t>
  </si>
  <si>
    <t xml:space="preserve">Battery replacement share FY31</t>
  </si>
  <si>
    <t xml:space="preserve">Independent-garage addressable FY31 (Rs Cr)</t>
  </si>
  <si>
    <t xml:space="preserve">Karnataka market FY31 (Rs Cr)</t>
  </si>
  <si>
    <t xml:space="preserve">Total aftermarket by year (Rs Cr)</t>
  </si>
  <si>
    <t xml:space="preserve">Base: service</t>
  </si>
  <si>
    <t xml:space="preserve">Base: battery</t>
  </si>
  <si>
    <t xml:space="preserve">FY22</t>
  </si>
  <si>
    <t xml:space="preserve">FY23</t>
  </si>
  <si>
    <t xml:space="preserve">FY24</t>
  </si>
  <si>
    <t xml:space="preserve">FY25</t>
  </si>
  <si>
    <t xml:space="preserve">FY26</t>
  </si>
  <si>
    <t xml:space="preserve">FY27</t>
  </si>
  <si>
    <t xml:space="preserve">FY28</t>
  </si>
  <si>
    <t xml:space="preserve">FY29</t>
  </si>
  <si>
    <t xml:space="preserve">FY30</t>
  </si>
  <si>
    <t xml:space="preserve">FY31</t>
  </si>
  <si>
    <t xml:space="preserve">Sensitivity: FY31 total aftermarket (Rs Cr), other inputs at base</t>
  </si>
  <si>
    <t xml:space="preserve">Helper: fleet by growth rate</t>
  </si>
  <si>
    <t xml:space="preserve">Sales growth</t>
  </si>
  <si>
    <t xml:space="preserve">Sales FY27</t>
  </si>
  <si>
    <t xml:space="preserve">Sales FY28</t>
  </si>
  <si>
    <t xml:space="preserve">Sales FY29</t>
  </si>
  <si>
    <t xml:space="preserve">Sales FY30</t>
  </si>
  <si>
    <t xml:space="preserve">Sales FY31</t>
  </si>
  <si>
    <t xml:space="preserve">Fleet FY27</t>
  </si>
  <si>
    <t xml:space="preserve">Fleet FY28</t>
  </si>
  <si>
    <t xml:space="preserve">Fleet FY29</t>
  </si>
  <si>
    <t xml:space="preserve">Fleet FY30</t>
  </si>
  <si>
    <t xml:space="preserve">Fleet FY31</t>
  </si>
  <si>
    <t xml:space="preserve">Paying fleet FY31</t>
  </si>
  <si>
    <t xml:space="preserve">Battery market FY31 (Rs Cr, from FY25 vintage; growth-independent)</t>
  </si>
  <si>
    <t xml:space="preserve">Spend per vehicle (Rs/yr) ↓  ×  sales growth →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</si>
</sst>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0.0%;\(0.0%\);\-"/>
    <numFmt numFmtId="167" formatCode="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8B855"/>
      <rgbColor rgb="FFFFCC00"/>
      <rgbColor rgb="FFFF9900"/>
      <rgbColor rgb="FFFF6600"/>
      <rgbColor rgb="FF4A7EBB"/>
      <rgbColor rgb="FF969696"/>
      <rgbColor rgb="FF1F3A5F"/>
      <rgbColor rgb="FF339966"/>
      <rgbColor rgb="FF003300"/>
      <rgbColor rgb="FF333300"/>
      <rgbColor rgb="FF993300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E2W aftermarket by scenario (Rs Cr)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Summary!B14</c:f>
              <c:strCache>
                <c:ptCount val="1"/>
                <c:pt idx="0">
                  <c:v>Bear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Summary!$A$15:$A$24</c:f>
              <c:strCache>
                <c:ptCount val="10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  <c:pt idx="5">
                  <c:v>FY27</c:v>
                </c:pt>
                <c:pt idx="6">
                  <c:v>FY28</c:v>
                </c:pt>
                <c:pt idx="7">
                  <c:v>FY29</c:v>
                </c:pt>
                <c:pt idx="8">
                  <c:v>FY30</c:v>
                </c:pt>
                <c:pt idx="9">
                  <c:v>FY31</c:v>
                </c:pt>
              </c:strCache>
            </c:strRef>
          </c:cat>
          <c:val>
            <c:numRef>
              <c:f>Summary!$B$15:$B$24</c:f>
              <c:numCache>
                <c:formatCode>#,##0;\(#,##0\);\-</c:formatCode>
                <c:ptCount val="10"/>
                <c:pt idx="0">
                  <c:v>0</c:v>
                </c:pt>
                <c:pt idx="1">
                  <c:v>48.99567</c:v>
                </c:pt>
                <c:pt idx="2">
                  <c:v>188.8103739</c:v>
                </c:pt>
                <c:pt idx="3">
                  <c:v>367.166896683</c:v>
                </c:pt>
                <c:pt idx="4">
                  <c:v>579.12268578251</c:v>
                </c:pt>
                <c:pt idx="5">
                  <c:v>848.675005209035</c:v>
                </c:pt>
                <c:pt idx="6">
                  <c:v>1539.12355205225</c:v>
                </c:pt>
                <c:pt idx="7">
                  <c:v>2525.33126422351</c:v>
                </c:pt>
                <c:pt idx="8">
                  <c:v>3090.51156533545</c:v>
                </c:pt>
                <c:pt idx="9">
                  <c:v>3621.83239722883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Summary!C14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Summary!$A$15:$A$24</c:f>
              <c:strCache>
                <c:ptCount val="10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  <c:pt idx="5">
                  <c:v>FY27</c:v>
                </c:pt>
                <c:pt idx="6">
                  <c:v>FY28</c:v>
                </c:pt>
                <c:pt idx="7">
                  <c:v>FY29</c:v>
                </c:pt>
                <c:pt idx="8">
                  <c:v>FY30</c:v>
                </c:pt>
                <c:pt idx="9">
                  <c:v>FY31</c:v>
                </c:pt>
              </c:strCache>
            </c:strRef>
          </c:cat>
          <c:val>
            <c:numRef>
              <c:f>Summary!$C$15:$C$24</c:f>
              <c:numCache>
                <c:formatCode>#,##0;\(#,##0\);\-</c:formatCode>
                <c:ptCount val="10"/>
                <c:pt idx="0">
                  <c:v>0</c:v>
                </c:pt>
                <c:pt idx="1">
                  <c:v>73.493505</c:v>
                </c:pt>
                <c:pt idx="2">
                  <c:v>283.21556085</c:v>
                </c:pt>
                <c:pt idx="3">
                  <c:v>550.7503450245</c:v>
                </c:pt>
                <c:pt idx="4">
                  <c:v>868.684028673765</c:v>
                </c:pt>
                <c:pt idx="5">
                  <c:v>1273.01250781355</c:v>
                </c:pt>
                <c:pt idx="6">
                  <c:v>2251.6516788285</c:v>
                </c:pt>
                <c:pt idx="7">
                  <c:v>3660.36348687969</c:v>
                </c:pt>
                <c:pt idx="8">
                  <c:v>4618.0669405716</c:v>
                </c:pt>
                <c:pt idx="9">
                  <c:v>5626.91434057126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Summary!D14</c:f>
              <c:strCache>
                <c:ptCount val="1"/>
                <c:pt idx="0">
                  <c:v>Bull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Summary!$A$15:$A$24</c:f>
              <c:strCache>
                <c:ptCount val="10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  <c:pt idx="5">
                  <c:v>FY27</c:v>
                </c:pt>
                <c:pt idx="6">
                  <c:v>FY28</c:v>
                </c:pt>
                <c:pt idx="7">
                  <c:v>FY29</c:v>
                </c:pt>
                <c:pt idx="8">
                  <c:v>FY30</c:v>
                </c:pt>
                <c:pt idx="9">
                  <c:v>FY31</c:v>
                </c:pt>
              </c:strCache>
            </c:strRef>
          </c:cat>
          <c:val>
            <c:numRef>
              <c:f>Summary!$D$15:$D$24</c:f>
              <c:numCache>
                <c:formatCode>#,##0;\(#,##0\);\-</c:formatCode>
                <c:ptCount val="10"/>
                <c:pt idx="0">
                  <c:v>0</c:v>
                </c:pt>
                <c:pt idx="1">
                  <c:v>97.99134</c:v>
                </c:pt>
                <c:pt idx="2">
                  <c:v>377.6207478</c:v>
                </c:pt>
                <c:pt idx="3">
                  <c:v>734.333793366</c:v>
                </c:pt>
                <c:pt idx="4">
                  <c:v>1158.24537156502</c:v>
                </c:pt>
                <c:pt idx="5">
                  <c:v>1697.35001041807</c:v>
                </c:pt>
                <c:pt idx="6">
                  <c:v>2992.87240560475</c:v>
                </c:pt>
                <c:pt idx="7">
                  <c:v>4900.69755153586</c:v>
                </c:pt>
                <c:pt idx="8">
                  <c:v>6402.99206854775</c:v>
                </c:pt>
                <c:pt idx="9">
                  <c:v>8155.80273707148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813668"/>
        <c:axId val="57537880"/>
      </c:lineChart>
      <c:catAx>
        <c:axId val="28136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537880"/>
        <c:crosses val="autoZero"/>
        <c:auto val="1"/>
        <c:lblAlgn val="ctr"/>
        <c:lblOffset val="100"/>
        <c:noMultiLvlLbl val="0"/>
      </c:catAx>
      <c:valAx>
        <c:axId val="575378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1366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Base case mix: service vs battery (Rs Cr)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Summary!E14</c:f>
              <c:strCache>
                <c:ptCount val="1"/>
                <c:pt idx="0">
                  <c:v>Base: service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Summary!$A$15:$A$24</c:f>
              <c:strCache>
                <c:ptCount val="10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  <c:pt idx="5">
                  <c:v>FY27</c:v>
                </c:pt>
                <c:pt idx="6">
                  <c:v>FY28</c:v>
                </c:pt>
                <c:pt idx="7">
                  <c:v>FY29</c:v>
                </c:pt>
                <c:pt idx="8">
                  <c:v>FY30</c:v>
                </c:pt>
                <c:pt idx="9">
                  <c:v>FY31</c:v>
                </c:pt>
              </c:strCache>
            </c:strRef>
          </c:cat>
          <c:val>
            <c:numRef>
              <c:f>Summary!$E$15:$E$24</c:f>
              <c:numCache>
                <c:formatCode>#,##0;\(#,##0\);\-</c:formatCode>
                <c:ptCount val="10"/>
                <c:pt idx="0">
                  <c:v>0</c:v>
                </c:pt>
                <c:pt idx="1">
                  <c:v>73.493505</c:v>
                </c:pt>
                <c:pt idx="2">
                  <c:v>283.21556085</c:v>
                </c:pt>
                <c:pt idx="3">
                  <c:v>550.7503450245</c:v>
                </c:pt>
                <c:pt idx="4">
                  <c:v>868.684028673765</c:v>
                </c:pt>
                <c:pt idx="5">
                  <c:v>1273.01250781355</c:v>
                </c:pt>
                <c:pt idx="6">
                  <c:v>1751.28893257915</c:v>
                </c:pt>
                <c:pt idx="7">
                  <c:v>2318.51042460177</c:v>
                </c:pt>
                <c:pt idx="8">
                  <c:v>2992.66730386372</c:v>
                </c:pt>
                <c:pt idx="9">
                  <c:v>3795.34191514781</c:v>
                </c:pt>
              </c:numCache>
            </c:numRef>
          </c:val>
        </c:ser>
        <c:ser>
          <c:idx val="1"/>
          <c:order val="1"/>
          <c:tx>
            <c:strRef>
              <c:f>Summary!F14</c:f>
              <c:strCache>
                <c:ptCount val="1"/>
                <c:pt idx="0">
                  <c:v>Base: battery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Summary!$A$15:$A$24</c:f>
              <c:strCache>
                <c:ptCount val="10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  <c:pt idx="5">
                  <c:v>FY27</c:v>
                </c:pt>
                <c:pt idx="6">
                  <c:v>FY28</c:v>
                </c:pt>
                <c:pt idx="7">
                  <c:v>FY29</c:v>
                </c:pt>
                <c:pt idx="8">
                  <c:v>FY30</c:v>
                </c:pt>
                <c:pt idx="9">
                  <c:v>FY31</c:v>
                </c:pt>
              </c:strCache>
            </c:strRef>
          </c:cat>
          <c:val>
            <c:numRef>
              <c:f>Summary!$F$15:$F$24</c:f>
              <c:numCache>
                <c:formatCode>#,##0;\(#,##0\);\-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500.362746249353</c:v>
                </c:pt>
                <c:pt idx="7">
                  <c:v>1341.85306227792</c:v>
                </c:pt>
                <c:pt idx="8">
                  <c:v>1625.39963670788</c:v>
                </c:pt>
                <c:pt idx="9">
                  <c:v>1831.57242542345</c:v>
                </c:pt>
              </c:numCache>
            </c:numRef>
          </c:val>
        </c:ser>
        <c:gapWidth val="150"/>
        <c:overlap val="100"/>
        <c:axId val="41289227"/>
        <c:axId val="73108002"/>
      </c:barChart>
      <c:catAx>
        <c:axId val="412892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108002"/>
        <c:crosses val="autoZero"/>
        <c:auto val="1"/>
        <c:lblAlgn val="ctr"/>
        <c:lblOffset val="100"/>
        <c:noMultiLvlLbl val="0"/>
      </c:catAx>
      <c:valAx>
        <c:axId val="731080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28922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160560</xdr:rowOff>
    </xdr:from>
    <xdr:to>
      <xdr:col>16</xdr:col>
      <xdr:colOff>255960</xdr:colOff>
      <xdr:row>16</xdr:row>
      <xdr:rowOff>182520</xdr:rowOff>
    </xdr:to>
    <xdr:graphicFrame>
      <xdr:nvGraphicFramePr>
        <xdr:cNvPr id="0" name="Chart 1"/>
        <xdr:cNvGraphicFramePr/>
      </xdr:nvGraphicFramePr>
      <xdr:xfrm>
        <a:off x="8787600" y="380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18</xdr:row>
      <xdr:rowOff>160560</xdr:rowOff>
    </xdr:from>
    <xdr:to>
      <xdr:col>16</xdr:col>
      <xdr:colOff>255960</xdr:colOff>
      <xdr:row>33</xdr:row>
      <xdr:rowOff>182880</xdr:rowOff>
    </xdr:to>
    <xdr:graphicFrame>
      <xdr:nvGraphicFramePr>
        <xdr:cNvPr id="1" name="Chart 2"/>
        <xdr:cNvGraphicFramePr/>
      </xdr:nvGraphicFramePr>
      <xdr:xfrm>
        <a:off x="8787600" y="36194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2"/>
      <c r="B2" s="2"/>
    </row>
    <row r="3" customFormat="false" ht="15" hidden="false" customHeight="false" outlineLevel="0" collapsed="false">
      <c r="A3" s="3" t="s">
        <v>1</v>
      </c>
      <c r="B3" s="4" t="s">
        <v>2</v>
      </c>
    </row>
    <row r="4" customFormat="false" ht="26.85" hidden="false" customHeight="false" outlineLevel="0" collapsed="false">
      <c r="A4" s="3" t="s">
        <v>3</v>
      </c>
      <c r="B4" s="4" t="s">
        <v>4</v>
      </c>
    </row>
    <row r="5" customFormat="false" ht="26.85" hidden="false" customHeight="false" outlineLevel="0" collapsed="false">
      <c r="A5" s="3" t="s">
        <v>5</v>
      </c>
      <c r="B5" s="4" t="s">
        <v>6</v>
      </c>
    </row>
    <row r="6" customFormat="false" ht="15" hidden="false" customHeight="false" outlineLevel="0" collapsed="false">
      <c r="A6" s="3" t="s">
        <v>7</v>
      </c>
      <c r="B6" s="4" t="str">
        <f aca="false">"Base case: Rs "&amp;TEXT(Summary!C4,"#,##0")&amp;" Cr in FY26, rising to Rs "&amp;TEXT(Summary!C5,"#,##0")&amp;" Cr by FY31 ("&amp;TEXT(Summary!C6,"0%")&amp;" a year)."</f>
        <v>Base case: Rs 869 Cr in FY26, rising to Rs 5,627 Cr by FY31 (45% a year).</v>
      </c>
    </row>
    <row r="7" customFormat="false" ht="15" hidden="false" customHeight="false" outlineLevel="0" collapsed="false">
      <c r="A7" s="3" t="s">
        <v>8</v>
      </c>
      <c r="B7" s="4" t="str">
        <f aca="false">"Bear to bull FY31: Rs "&amp;TEXT(Summary!B5,"#,##0")&amp;" Cr to Rs "&amp;TEXT(Summary!D5,"#,##0")&amp;" Cr."</f>
        <v>Bear to bull FY31: Rs 3,622 Cr to Rs 8,156 Cr.</v>
      </c>
    </row>
    <row r="8" customFormat="false" ht="15" hidden="false" customHeight="false" outlineLevel="0" collapsed="false">
      <c r="A8" s="3" t="s">
        <v>9</v>
      </c>
      <c r="B8" s="4" t="s">
        <v>10</v>
      </c>
    </row>
    <row r="9" customFormat="false" ht="15" hidden="false" customHeight="false" outlineLevel="0" collapsed="false">
      <c r="A9" s="3" t="s">
        <v>11</v>
      </c>
      <c r="B9" s="4" t="s">
        <v>12</v>
      </c>
    </row>
    <row r="10" customFormat="false" ht="15" hidden="false" customHeight="false" outlineLevel="0" collapsed="false">
      <c r="A10" s="2"/>
      <c r="B10" s="2"/>
    </row>
    <row r="11" customFormat="false" ht="15" hidden="false" customHeight="false" outlineLevel="0" collapsed="false">
      <c r="A11" s="3" t="s">
        <v>13</v>
      </c>
      <c r="B11" s="2"/>
    </row>
    <row r="12" customFormat="false" ht="15" hidden="false" customHeight="false" outlineLevel="0" collapsed="false">
      <c r="A12" s="2"/>
      <c r="B12" s="5" t="s">
        <v>14</v>
      </c>
    </row>
    <row r="13" customFormat="false" ht="15" hidden="false" customHeight="false" outlineLevel="0" collapsed="false">
      <c r="A13" s="2"/>
      <c r="B13" s="5" t="s">
        <v>15</v>
      </c>
    </row>
    <row r="14" customFormat="false" ht="15" hidden="false" customHeight="false" outlineLevel="0" collapsed="false">
      <c r="A14" s="2"/>
      <c r="B14" s="5" t="s">
        <v>16</v>
      </c>
    </row>
    <row r="15" customFormat="false" ht="15" hidden="false" customHeight="false" outlineLevel="0" collapsed="false">
      <c r="A15" s="2"/>
      <c r="B15" s="5" t="s">
        <v>17</v>
      </c>
    </row>
    <row r="16" customFormat="false" ht="15" hidden="false" customHeight="false" outlineLevel="0" collapsed="false">
      <c r="A16" s="2"/>
      <c r="B16" s="5" t="s">
        <v>18</v>
      </c>
    </row>
    <row r="17" customFormat="false" ht="15" hidden="false" customHeight="false" outlineLevel="0" collapsed="false">
      <c r="A17" s="2"/>
      <c r="B17" s="5" t="s">
        <v>19</v>
      </c>
    </row>
    <row r="18" customFormat="false" ht="15" hidden="false" customHeight="false" outlineLevel="0" collapsed="false">
      <c r="A18" s="2"/>
      <c r="B18" s="5" t="s">
        <v>20</v>
      </c>
    </row>
    <row r="19" customFormat="false" ht="15" hidden="false" customHeight="false" outlineLevel="0" collapsed="false">
      <c r="A19" s="2"/>
      <c r="B19" s="5" t="s">
        <v>21</v>
      </c>
    </row>
    <row r="20" customFormat="false" ht="15" hidden="false" customHeight="false" outlineLevel="0" collapsed="false">
      <c r="A20" s="2"/>
      <c r="B20" s="5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4"/>
    <col collapsed="false" customWidth="true" hidden="false" outlineLevel="0" max="5" min="5" style="0" width="110"/>
  </cols>
  <sheetData>
    <row r="1" customFormat="false" ht="17.35" hidden="false" customHeight="false" outlineLevel="0" collapsed="false">
      <c r="A1" s="1" t="s">
        <v>23</v>
      </c>
      <c r="B1" s="2"/>
      <c r="C1" s="2"/>
      <c r="D1" s="2"/>
      <c r="E1" s="2"/>
    </row>
    <row r="2" customFormat="false" ht="15" hidden="false" customHeight="false" outlineLevel="0" collapsed="false">
      <c r="A2" s="2"/>
      <c r="B2" s="2"/>
      <c r="C2" s="2"/>
      <c r="D2" s="2"/>
      <c r="E2" s="2"/>
    </row>
    <row r="3" customFormat="false" ht="15" hidden="false" customHeight="false" outlineLevel="0" collapsed="false">
      <c r="A3" s="6" t="s">
        <v>24</v>
      </c>
      <c r="B3" s="6" t="s">
        <v>25</v>
      </c>
      <c r="C3" s="6" t="s">
        <v>26</v>
      </c>
      <c r="D3" s="6" t="s">
        <v>27</v>
      </c>
      <c r="E3" s="2"/>
    </row>
    <row r="4" customFormat="false" ht="15" hidden="false" customHeight="false" outlineLevel="0" collapsed="false">
      <c r="A4" s="2" t="s">
        <v>28</v>
      </c>
      <c r="B4" s="7" t="n">
        <v>252555</v>
      </c>
      <c r="C4" s="2" t="s">
        <v>29</v>
      </c>
      <c r="D4" s="2" t="s">
        <v>14</v>
      </c>
      <c r="E4" s="2"/>
    </row>
    <row r="5" customFormat="false" ht="15" hidden="false" customHeight="false" outlineLevel="0" collapsed="false">
      <c r="A5" s="2" t="s">
        <v>30</v>
      </c>
      <c r="B5" s="7" t="n">
        <v>728271</v>
      </c>
      <c r="C5" s="2" t="s">
        <v>29</v>
      </c>
      <c r="D5" s="2" t="s">
        <v>15</v>
      </c>
      <c r="E5" s="2"/>
    </row>
    <row r="6" customFormat="false" ht="15" hidden="false" customHeight="false" outlineLevel="0" collapsed="false">
      <c r="A6" s="2" t="s">
        <v>31</v>
      </c>
      <c r="B6" s="7" t="n">
        <v>948561</v>
      </c>
      <c r="C6" s="2" t="s">
        <v>29</v>
      </c>
      <c r="D6" s="2" t="s">
        <v>16</v>
      </c>
      <c r="E6" s="2"/>
    </row>
    <row r="7" customFormat="false" ht="15" hidden="false" customHeight="false" outlineLevel="0" collapsed="false">
      <c r="A7" s="2" t="s">
        <v>32</v>
      </c>
      <c r="B7" s="7" t="n">
        <v>1149334</v>
      </c>
      <c r="C7" s="2" t="s">
        <v>29</v>
      </c>
      <c r="D7" s="2" t="s">
        <v>16</v>
      </c>
      <c r="E7" s="2"/>
    </row>
    <row r="8" customFormat="false" ht="15" hidden="false" customHeight="false" outlineLevel="0" collapsed="false">
      <c r="A8" s="2" t="s">
        <v>33</v>
      </c>
      <c r="B8" s="7" t="n">
        <v>2550000</v>
      </c>
      <c r="C8" s="2" t="s">
        <v>29</v>
      </c>
      <c r="D8" s="2" t="s">
        <v>17</v>
      </c>
      <c r="E8" s="2"/>
    </row>
    <row r="9" customFormat="false" ht="15" hidden="false" customHeight="false" outlineLevel="0" collapsed="false">
      <c r="A9" s="2" t="s">
        <v>34</v>
      </c>
      <c r="B9" s="8" t="n">
        <v>0.58</v>
      </c>
      <c r="C9" s="2" t="s">
        <v>35</v>
      </c>
      <c r="D9" s="2" t="s">
        <v>18</v>
      </c>
      <c r="E9" s="2"/>
    </row>
    <row r="10" customFormat="false" ht="15" hidden="false" customHeight="false" outlineLevel="0" collapsed="false">
      <c r="A10" s="2" t="s">
        <v>36</v>
      </c>
      <c r="B10" s="9" t="n">
        <f aca="false">B8*B9</f>
        <v>1479000</v>
      </c>
      <c r="C10" s="2" t="s">
        <v>29</v>
      </c>
      <c r="D10" s="2" t="s">
        <v>37</v>
      </c>
      <c r="E10" s="2"/>
    </row>
    <row r="11" customFormat="false" ht="15" hidden="false" customHeight="false" outlineLevel="0" collapsed="false">
      <c r="A11" s="2"/>
      <c r="B11" s="2"/>
      <c r="C11" s="2"/>
      <c r="D11" s="2"/>
      <c r="E11" s="2"/>
    </row>
    <row r="12" customFormat="false" ht="15" hidden="false" customHeight="false" outlineLevel="0" collapsed="false">
      <c r="A12" s="6" t="s">
        <v>38</v>
      </c>
      <c r="B12" s="6" t="s">
        <v>39</v>
      </c>
      <c r="C12" s="6" t="s">
        <v>40</v>
      </c>
      <c r="D12" s="6" t="s">
        <v>41</v>
      </c>
      <c r="E12" s="6" t="s">
        <v>42</v>
      </c>
    </row>
    <row r="13" customFormat="false" ht="15" hidden="false" customHeight="false" outlineLevel="0" collapsed="false">
      <c r="A13" s="2" t="s">
        <v>43</v>
      </c>
      <c r="B13" s="10" t="n">
        <v>0.1</v>
      </c>
      <c r="C13" s="10" t="n">
        <v>0.2</v>
      </c>
      <c r="D13" s="10" t="n">
        <v>0.3</v>
      </c>
      <c r="E13" s="2" t="s">
        <v>44</v>
      </c>
    </row>
    <row r="14" customFormat="false" ht="15" hidden="false" customHeight="false" outlineLevel="0" collapsed="false">
      <c r="A14" s="2" t="s">
        <v>45</v>
      </c>
      <c r="B14" s="11" t="n">
        <v>2000</v>
      </c>
      <c r="C14" s="11" t="n">
        <v>3000</v>
      </c>
      <c r="D14" s="11" t="n">
        <v>4000</v>
      </c>
      <c r="E14" s="2" t="s">
        <v>46</v>
      </c>
    </row>
    <row r="15" customFormat="false" ht="15" hidden="false" customHeight="false" outlineLevel="0" collapsed="false">
      <c r="A15" s="2" t="s">
        <v>47</v>
      </c>
      <c r="B15" s="10" t="n">
        <v>0.4</v>
      </c>
      <c r="C15" s="10" t="n">
        <v>0.5</v>
      </c>
      <c r="D15" s="10" t="n">
        <v>0.6</v>
      </c>
      <c r="E15" s="2" t="s">
        <v>48</v>
      </c>
    </row>
    <row r="16" customFormat="false" ht="15" hidden="false" customHeight="false" outlineLevel="0" collapsed="false">
      <c r="A16" s="2"/>
      <c r="B16" s="2"/>
      <c r="C16" s="2"/>
      <c r="D16" s="2"/>
      <c r="E16" s="2"/>
    </row>
    <row r="17" customFormat="false" ht="15" hidden="false" customHeight="false" outlineLevel="0" collapsed="false">
      <c r="A17" s="6" t="s">
        <v>49</v>
      </c>
      <c r="B17" s="6" t="s">
        <v>25</v>
      </c>
      <c r="C17" s="6" t="s">
        <v>26</v>
      </c>
      <c r="D17" s="6" t="s">
        <v>42</v>
      </c>
      <c r="E17" s="2"/>
    </row>
    <row r="18" customFormat="false" ht="15" hidden="false" customHeight="false" outlineLevel="0" collapsed="false">
      <c r="A18" s="2" t="s">
        <v>50</v>
      </c>
      <c r="B18" s="10" t="n">
        <v>0.03</v>
      </c>
      <c r="C18" s="2" t="s">
        <v>35</v>
      </c>
      <c r="D18" s="2" t="s">
        <v>51</v>
      </c>
      <c r="E18" s="2"/>
    </row>
    <row r="19" customFormat="false" ht="15" hidden="false" customHeight="false" outlineLevel="0" collapsed="false">
      <c r="A19" s="2" t="s">
        <v>52</v>
      </c>
      <c r="B19" s="7" t="n">
        <v>55000</v>
      </c>
      <c r="C19" s="2" t="s">
        <v>53</v>
      </c>
      <c r="D19" s="2" t="s">
        <v>21</v>
      </c>
      <c r="E19" s="2"/>
    </row>
    <row r="20" customFormat="false" ht="15" hidden="false" customHeight="false" outlineLevel="0" collapsed="false">
      <c r="A20" s="2" t="s">
        <v>54</v>
      </c>
      <c r="B20" s="10" t="n">
        <v>0.07</v>
      </c>
      <c r="C20" s="2" t="s">
        <v>35</v>
      </c>
      <c r="D20" s="2" t="s">
        <v>55</v>
      </c>
      <c r="E20" s="2"/>
    </row>
    <row r="21" customFormat="false" ht="15" hidden="false" customHeight="false" outlineLevel="0" collapsed="false">
      <c r="A21" s="2" t="s">
        <v>56</v>
      </c>
      <c r="B21" s="11" t="n">
        <v>6</v>
      </c>
      <c r="C21" s="2" t="s">
        <v>57</v>
      </c>
      <c r="D21" s="2" t="s">
        <v>58</v>
      </c>
      <c r="E21" s="2"/>
    </row>
    <row r="22" customFormat="false" ht="15" hidden="false" customHeight="false" outlineLevel="0" collapsed="false">
      <c r="A22" s="2" t="s">
        <v>59</v>
      </c>
      <c r="B22" s="10" t="n">
        <v>0.25</v>
      </c>
      <c r="C22" s="2" t="s">
        <v>35</v>
      </c>
      <c r="D22" s="2" t="s">
        <v>60</v>
      </c>
      <c r="E22" s="2"/>
    </row>
    <row r="23" customFormat="false" ht="15" hidden="false" customHeight="false" outlineLevel="0" collapsed="false">
      <c r="A23" s="2" t="s">
        <v>61</v>
      </c>
      <c r="B23" s="8" t="n">
        <v>0.09</v>
      </c>
      <c r="C23" s="2" t="s">
        <v>35</v>
      </c>
      <c r="D23" s="2" t="s">
        <v>62</v>
      </c>
      <c r="E23" s="2"/>
    </row>
    <row r="24" customFormat="false" ht="15" hidden="false" customHeight="false" outlineLevel="0" collapsed="false">
      <c r="A24" s="2"/>
      <c r="B24" s="2"/>
      <c r="C24" s="2"/>
      <c r="D24" s="2"/>
      <c r="E24" s="2"/>
    </row>
    <row r="25" customFormat="false" ht="15" hidden="false" customHeight="false" outlineLevel="0" collapsed="false">
      <c r="A25" s="2" t="s">
        <v>63</v>
      </c>
      <c r="B25" s="2"/>
      <c r="C25" s="2"/>
      <c r="D25" s="2"/>
      <c r="E2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12" min="3" style="0" width="12"/>
  </cols>
  <sheetData>
    <row r="1" customFormat="false" ht="17.35" hidden="false" customHeight="false" outlineLevel="0" collapsed="false">
      <c r="A1" s="1" t="s">
        <v>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A2" s="3" t="s">
        <v>65</v>
      </c>
      <c r="B2" s="2"/>
      <c r="C2" s="12" t="n">
        <v>2022</v>
      </c>
      <c r="D2" s="12" t="n">
        <v>2023</v>
      </c>
      <c r="E2" s="12" t="n">
        <v>2024</v>
      </c>
      <c r="F2" s="12" t="n">
        <v>2025</v>
      </c>
      <c r="G2" s="12" t="n">
        <v>2026</v>
      </c>
      <c r="H2" s="12" t="n">
        <v>2027</v>
      </c>
      <c r="I2" s="12" t="n">
        <v>2028</v>
      </c>
      <c r="J2" s="12" t="n">
        <v>2029</v>
      </c>
      <c r="K2" s="12" t="n">
        <v>2030</v>
      </c>
      <c r="L2" s="12" t="n">
        <v>2031</v>
      </c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3" t="s">
        <v>66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customFormat="false" ht="15" hidden="false" customHeight="false" outlineLevel="0" collapsed="false">
      <c r="A5" s="2" t="s">
        <v>67</v>
      </c>
      <c r="B5" s="2"/>
      <c r="C5" s="13" t="n">
        <f aca="false">Inputs!$B$4</f>
        <v>252555</v>
      </c>
      <c r="D5" s="13" t="n">
        <f aca="false">Inputs!$B$5</f>
        <v>728271</v>
      </c>
      <c r="E5" s="13" t="n">
        <f aca="false">Inputs!$B$6</f>
        <v>948561</v>
      </c>
      <c r="F5" s="13" t="n">
        <f aca="false">Inputs!$B$7</f>
        <v>1149334</v>
      </c>
      <c r="G5" s="13" t="n">
        <f aca="false">Inputs!$B$10</f>
        <v>1479000</v>
      </c>
      <c r="H5" s="14" t="n">
        <f aca="false">G5*(1+Inputs!$B$13)</f>
        <v>1626900</v>
      </c>
      <c r="I5" s="14" t="n">
        <f aca="false">H5*(1+Inputs!$B$13)</f>
        <v>1789590</v>
      </c>
      <c r="J5" s="14" t="n">
        <f aca="false">I5*(1+Inputs!$B$13)</f>
        <v>1968549</v>
      </c>
      <c r="K5" s="14" t="n">
        <f aca="false">J5*(1+Inputs!$B$13)</f>
        <v>2165403.9</v>
      </c>
      <c r="L5" s="14" t="n">
        <f aca="false">K5*(1+Inputs!$B$13)</f>
        <v>2381944.29</v>
      </c>
    </row>
    <row r="6" customFormat="false" ht="15" hidden="false" customHeight="false" outlineLevel="0" collapsed="false">
      <c r="A6" s="2" t="s">
        <v>68</v>
      </c>
      <c r="B6" s="2"/>
      <c r="C6" s="14" t="n">
        <f aca="false">C5</f>
        <v>252555</v>
      </c>
      <c r="D6" s="14" t="n">
        <f aca="false">C6*(1-Inputs!$B$18)+D5</f>
        <v>973249.35</v>
      </c>
      <c r="E6" s="14" t="n">
        <f aca="false">D6*(1-Inputs!$B$18)+E5</f>
        <v>1892612.8695</v>
      </c>
      <c r="F6" s="14" t="n">
        <f aca="false">E6*(1-Inputs!$B$18)+F5</f>
        <v>2985168.483415</v>
      </c>
      <c r="G6" s="14" t="n">
        <f aca="false">F6*(1-Inputs!$B$18)+G5</f>
        <v>4374613.42891255</v>
      </c>
      <c r="H6" s="14" t="n">
        <f aca="false">G6*(1-Inputs!$B$18)+H5</f>
        <v>5870275.02604517</v>
      </c>
      <c r="I6" s="14" t="n">
        <f aca="false">H6*(1-Inputs!$B$18)+I5</f>
        <v>7483756.77526382</v>
      </c>
      <c r="J6" s="14" t="n">
        <f aca="false">I6*(1-Inputs!$B$18)+J5</f>
        <v>9227793.0720059</v>
      </c>
      <c r="K6" s="14" t="n">
        <f aca="false">J6*(1-Inputs!$B$18)+K5</f>
        <v>11116363.1798457</v>
      </c>
      <c r="L6" s="14" t="n">
        <f aca="false">K6*(1-Inputs!$B$18)+L5</f>
        <v>13164816.5744504</v>
      </c>
    </row>
    <row r="7" customFormat="false" ht="15" hidden="false" customHeight="false" outlineLevel="0" collapsed="false">
      <c r="A7" s="2" t="s">
        <v>69</v>
      </c>
      <c r="B7" s="2"/>
      <c r="C7" s="14" t="n">
        <f aca="false">C6-C5</f>
        <v>0</v>
      </c>
      <c r="D7" s="14" t="n">
        <f aca="false">D6-D5</f>
        <v>244978.35</v>
      </c>
      <c r="E7" s="14" t="n">
        <f aca="false">E6-E5</f>
        <v>944051.8695</v>
      </c>
      <c r="F7" s="14" t="n">
        <f aca="false">F6-F5</f>
        <v>1835834.483415</v>
      </c>
      <c r="G7" s="14" t="n">
        <f aca="false">G6-G5</f>
        <v>2895613.42891255</v>
      </c>
      <c r="H7" s="14" t="n">
        <f aca="false">H6-H5</f>
        <v>4243375.02604517</v>
      </c>
      <c r="I7" s="14" t="n">
        <f aca="false">I6-I5</f>
        <v>5694166.77526382</v>
      </c>
      <c r="J7" s="14" t="n">
        <f aca="false">J6-J5</f>
        <v>7259244.0720059</v>
      </c>
      <c r="K7" s="14" t="n">
        <f aca="false">K6-K5</f>
        <v>8950959.27984573</v>
      </c>
      <c r="L7" s="14" t="n">
        <f aca="false">L6-L5</f>
        <v>10782872.2844504</v>
      </c>
    </row>
    <row r="8" customFormat="false" ht="15" hidden="false" customHeight="false" outlineLevel="0" collapsed="false">
      <c r="A8" s="2" t="s">
        <v>70</v>
      </c>
      <c r="B8" s="2"/>
      <c r="C8" s="14" t="n">
        <f aca="false">C7*Inputs!$B$14/10^7</f>
        <v>0</v>
      </c>
      <c r="D8" s="14" t="n">
        <f aca="false">D7*Inputs!$B$14/10^7</f>
        <v>48.99567</v>
      </c>
      <c r="E8" s="14" t="n">
        <f aca="false">E7*Inputs!$B$14/10^7</f>
        <v>188.8103739</v>
      </c>
      <c r="F8" s="14" t="n">
        <f aca="false">F7*Inputs!$B$14/10^7</f>
        <v>367.166896683</v>
      </c>
      <c r="G8" s="14" t="n">
        <f aca="false">G7*Inputs!$B$14/10^7</f>
        <v>579.12268578251</v>
      </c>
      <c r="H8" s="14" t="n">
        <f aca="false">H7*Inputs!$B$14/10^7</f>
        <v>848.675005209035</v>
      </c>
      <c r="I8" s="14" t="n">
        <f aca="false">I7*Inputs!$B$14/10^7</f>
        <v>1138.83335505276</v>
      </c>
      <c r="J8" s="14" t="n">
        <f aca="false">J7*Inputs!$B$14/10^7</f>
        <v>1451.84881440118</v>
      </c>
      <c r="K8" s="14" t="n">
        <f aca="false">K7*Inputs!$B$14/10^7</f>
        <v>1790.19185596915</v>
      </c>
      <c r="L8" s="14" t="n">
        <f aca="false">L7*Inputs!$B$14/10^7</f>
        <v>2156.57445689007</v>
      </c>
    </row>
    <row r="9" customFormat="false" ht="15" hidden="false" customHeight="false" outlineLevel="0" collapsed="false">
      <c r="A9" s="2" t="s">
        <v>71</v>
      </c>
      <c r="B9" s="2"/>
      <c r="C9" s="14" t="n">
        <f aca="true">IF(C$2-Inputs!$B$21&lt;2022,0,OFFSET(C5,0,-Inputs!$B$21)*Inputs!$B$15*(1-Inputs!$B$18)^Inputs!$B$21)</f>
        <v>0</v>
      </c>
      <c r="D9" s="14" t="n">
        <f aca="true">IF(D$2-Inputs!$B$21&lt;2022,0,OFFSET(D5,0,-Inputs!$B$21)*Inputs!$B$15*(1-Inputs!$B$18)^Inputs!$B$21)</f>
        <v>0</v>
      </c>
      <c r="E9" s="14" t="n">
        <f aca="true">IF(E$2-Inputs!$B$21&lt;2022,0,OFFSET(E5,0,-Inputs!$B$21)*Inputs!$B$15*(1-Inputs!$B$18)^Inputs!$B$21)</f>
        <v>0</v>
      </c>
      <c r="F9" s="14" t="n">
        <f aca="true">IF(F$2-Inputs!$B$21&lt;2022,0,OFFSET(F5,0,-Inputs!$B$21)*Inputs!$B$15*(1-Inputs!$B$18)^Inputs!$B$21)</f>
        <v>0</v>
      </c>
      <c r="G9" s="14" t="n">
        <f aca="true">IF(G$2-Inputs!$B$21&lt;2022,0,OFFSET(G5,0,-Inputs!$B$21)*Inputs!$B$15*(1-Inputs!$B$18)^Inputs!$B$21)</f>
        <v>0</v>
      </c>
      <c r="H9" s="14" t="n">
        <f aca="true">IF(H$2-Inputs!$B$21&lt;2022,0,OFFSET(H5,0,-Inputs!$B$21)*Inputs!$B$15*(1-Inputs!$B$18)^Inputs!$B$21)</f>
        <v>0</v>
      </c>
      <c r="I9" s="14" t="n">
        <f aca="true">IF(I$2-Inputs!$B$21&lt;2022,0,OFFSET(I5,0,-Inputs!$B$21)*Inputs!$B$15*(1-Inputs!$B$18)^Inputs!$B$21)</f>
        <v>84148.4978819374</v>
      </c>
      <c r="J9" s="14" t="n">
        <f aca="true">IF(J$2-Inputs!$B$21&lt;2022,0,OFFSET(J5,0,-Inputs!$B$21)*Inputs!$B$15*(1-Inputs!$B$18)^Inputs!$B$21)</f>
        <v>242651.742000659</v>
      </c>
      <c r="K9" s="14" t="n">
        <f aca="true">IF(K$2-Inputs!$B$21&lt;2022,0,OFFSET(K5,0,-Inputs!$B$21)*Inputs!$B$15*(1-Inputs!$B$18)^Inputs!$B$21)</f>
        <v>316049.903186983</v>
      </c>
      <c r="L9" s="14" t="n">
        <f aca="true">IF(L$2-Inputs!$B$21&lt;2022,0,OFFSET(L5,0,-Inputs!$B$21)*Inputs!$B$15*(1-Inputs!$B$18)^Inputs!$B$21)</f>
        <v>382945.218525227</v>
      </c>
    </row>
    <row r="10" customFormat="false" ht="15" hidden="false" customHeight="false" outlineLevel="0" collapsed="false">
      <c r="A10" s="2" t="s">
        <v>72</v>
      </c>
      <c r="B10" s="2"/>
      <c r="C10" s="14" t="n">
        <f aca="false">Inputs!$B$19*(1-Inputs!$B$20)^(C$2-2026)</f>
        <v>73524.2994668245</v>
      </c>
      <c r="D10" s="14" t="n">
        <f aca="false">Inputs!$B$19*(1-Inputs!$B$20)^(D$2-2026)</f>
        <v>68377.5985041468</v>
      </c>
      <c r="E10" s="14" t="n">
        <f aca="false">Inputs!$B$19*(1-Inputs!$B$20)^(E$2-2026)</f>
        <v>63591.1666088565</v>
      </c>
      <c r="F10" s="14" t="n">
        <f aca="false">Inputs!$B$19*(1-Inputs!$B$20)^(F$2-2026)</f>
        <v>59139.7849462366</v>
      </c>
      <c r="G10" s="14" t="n">
        <f aca="false">Inputs!$B$19*(1-Inputs!$B$20)^(G$2-2026)</f>
        <v>55000</v>
      </c>
      <c r="H10" s="14" t="n">
        <f aca="false">Inputs!$B$19*(1-Inputs!$B$20)^(H$2-2026)</f>
        <v>51150</v>
      </c>
      <c r="I10" s="14" t="n">
        <f aca="false">Inputs!$B$19*(1-Inputs!$B$20)^(I$2-2026)</f>
        <v>47569.5</v>
      </c>
      <c r="J10" s="14" t="n">
        <f aca="false">Inputs!$B$19*(1-Inputs!$B$20)^(J$2-2026)</f>
        <v>44239.635</v>
      </c>
      <c r="K10" s="14" t="n">
        <f aca="false">Inputs!$B$19*(1-Inputs!$B$20)^(K$2-2026)</f>
        <v>41142.86055</v>
      </c>
      <c r="L10" s="14" t="n">
        <f aca="false">Inputs!$B$19*(1-Inputs!$B$20)^(L$2-2026)</f>
        <v>38262.8603115</v>
      </c>
    </row>
    <row r="11" customFormat="false" ht="15" hidden="false" customHeight="false" outlineLevel="0" collapsed="false">
      <c r="A11" s="2" t="s">
        <v>73</v>
      </c>
      <c r="B11" s="2"/>
      <c r="C11" s="14" t="n">
        <f aca="false">C9*C10/10^7</f>
        <v>0</v>
      </c>
      <c r="D11" s="14" t="n">
        <f aca="false">D9*D10/10^7</f>
        <v>0</v>
      </c>
      <c r="E11" s="14" t="n">
        <f aca="false">E9*E10/10^7</f>
        <v>0</v>
      </c>
      <c r="F11" s="14" t="n">
        <f aca="false">F9*F10/10^7</f>
        <v>0</v>
      </c>
      <c r="G11" s="14" t="n">
        <f aca="false">G9*G10/10^7</f>
        <v>0</v>
      </c>
      <c r="H11" s="14" t="n">
        <f aca="false">H9*H10/10^7</f>
        <v>0</v>
      </c>
      <c r="I11" s="14" t="n">
        <f aca="false">I9*I10/10^7</f>
        <v>400.290196999482</v>
      </c>
      <c r="J11" s="14" t="n">
        <f aca="false">J9*J10/10^7</f>
        <v>1073.48244982233</v>
      </c>
      <c r="K11" s="14" t="n">
        <f aca="false">K9*K10/10^7</f>
        <v>1300.3197093663</v>
      </c>
      <c r="L11" s="14" t="n">
        <f aca="false">L9*L10/10^7</f>
        <v>1465.25794033876</v>
      </c>
    </row>
    <row r="12" customFormat="false" ht="15" hidden="false" customHeight="false" outlineLevel="0" collapsed="false">
      <c r="A12" s="2" t="s">
        <v>74</v>
      </c>
      <c r="B12" s="2"/>
      <c r="C12" s="15" t="n">
        <f aca="false">C8+C11</f>
        <v>0</v>
      </c>
      <c r="D12" s="15" t="n">
        <f aca="false">D8+D11</f>
        <v>48.99567</v>
      </c>
      <c r="E12" s="15" t="n">
        <f aca="false">E8+E11</f>
        <v>188.8103739</v>
      </c>
      <c r="F12" s="15" t="n">
        <f aca="false">F8+F11</f>
        <v>367.166896683</v>
      </c>
      <c r="G12" s="15" t="n">
        <f aca="false">G8+G11</f>
        <v>579.12268578251</v>
      </c>
      <c r="H12" s="15" t="n">
        <f aca="false">H8+H11</f>
        <v>848.675005209035</v>
      </c>
      <c r="I12" s="15" t="n">
        <f aca="false">I8+I11</f>
        <v>1539.12355205225</v>
      </c>
      <c r="J12" s="15" t="n">
        <f aca="false">J8+J11</f>
        <v>2525.33126422351</v>
      </c>
      <c r="K12" s="15" t="n">
        <f aca="false">K8+K11</f>
        <v>3090.51156533545</v>
      </c>
      <c r="L12" s="15" t="n">
        <f aca="false">L8+L11</f>
        <v>3621.83239722883</v>
      </c>
    </row>
    <row r="13" customFormat="false" ht="15" hidden="false" customHeight="false" outlineLevel="0" collapsed="false">
      <c r="A13" s="2" t="s">
        <v>75</v>
      </c>
      <c r="B13" s="2"/>
      <c r="C13" s="14" t="n">
        <f aca="false">C12*Inputs!$B$22</f>
        <v>0</v>
      </c>
      <c r="D13" s="14" t="n">
        <f aca="false">D12*Inputs!$B$22</f>
        <v>12.2489175</v>
      </c>
      <c r="E13" s="14" t="n">
        <f aca="false">E12*Inputs!$B$22</f>
        <v>47.202593475</v>
      </c>
      <c r="F13" s="14" t="n">
        <f aca="false">F12*Inputs!$B$22</f>
        <v>91.79172417075</v>
      </c>
      <c r="G13" s="14" t="n">
        <f aca="false">G12*Inputs!$B$22</f>
        <v>144.780671445628</v>
      </c>
      <c r="H13" s="14" t="n">
        <f aca="false">H12*Inputs!$B$22</f>
        <v>212.168751302259</v>
      </c>
      <c r="I13" s="14" t="n">
        <f aca="false">I12*Inputs!$B$22</f>
        <v>384.780888013061</v>
      </c>
      <c r="J13" s="14" t="n">
        <f aca="false">J12*Inputs!$B$22</f>
        <v>631.332816055878</v>
      </c>
      <c r="K13" s="14" t="n">
        <f aca="false">K12*Inputs!$B$22</f>
        <v>772.627891333862</v>
      </c>
      <c r="L13" s="14" t="n">
        <f aca="false">L12*Inputs!$B$22</f>
        <v>905.458099307208</v>
      </c>
    </row>
    <row r="14" customFormat="false" ht="15" hidden="false" customHeight="false" outlineLevel="0" collapsed="false">
      <c r="A14" s="2" t="s">
        <v>76</v>
      </c>
      <c r="B14" s="2"/>
      <c r="C14" s="14" t="n">
        <f aca="false">C12*Inputs!$B$23</f>
        <v>0</v>
      </c>
      <c r="D14" s="14" t="n">
        <f aca="false">D12*Inputs!$B$23</f>
        <v>4.4096103</v>
      </c>
      <c r="E14" s="14" t="n">
        <f aca="false">E12*Inputs!$B$23</f>
        <v>16.992933651</v>
      </c>
      <c r="F14" s="14" t="n">
        <f aca="false">F12*Inputs!$B$23</f>
        <v>33.04502070147</v>
      </c>
      <c r="G14" s="14" t="n">
        <f aca="false">G12*Inputs!$B$23</f>
        <v>52.1210417204259</v>
      </c>
      <c r="H14" s="14" t="n">
        <f aca="false">H12*Inputs!$B$23</f>
        <v>76.3807504688131</v>
      </c>
      <c r="I14" s="14" t="n">
        <f aca="false">I12*Inputs!$B$23</f>
        <v>138.521119684702</v>
      </c>
      <c r="J14" s="14" t="n">
        <f aca="false">J12*Inputs!$B$23</f>
        <v>227.279813780116</v>
      </c>
      <c r="K14" s="14" t="n">
        <f aca="false">K12*Inputs!$B$23</f>
        <v>278.14604088019</v>
      </c>
      <c r="L14" s="14" t="n">
        <f aca="false">L12*Inputs!$B$23</f>
        <v>325.964915750595</v>
      </c>
    </row>
    <row r="15" customFormat="false" ht="15" hidden="false" customHeight="false" outlineLevel="0" collapsed="false">
      <c r="A15" s="2" t="s">
        <v>77</v>
      </c>
      <c r="B15" s="2"/>
      <c r="C15" s="16" t="n">
        <f aca="false">IF(C12=0,0,C11/C12)</f>
        <v>0</v>
      </c>
      <c r="D15" s="16" t="n">
        <f aca="false">IF(D12=0,0,D11/D12)</f>
        <v>0</v>
      </c>
      <c r="E15" s="16" t="n">
        <f aca="false">IF(E12=0,0,E11/E12)</f>
        <v>0</v>
      </c>
      <c r="F15" s="16" t="n">
        <f aca="false">IF(F12=0,0,F11/F12)</f>
        <v>0</v>
      </c>
      <c r="G15" s="16" t="n">
        <f aca="false">IF(G12=0,0,G11/G12)</f>
        <v>0</v>
      </c>
      <c r="H15" s="16" t="n">
        <f aca="false">IF(H12=0,0,H11/H12)</f>
        <v>0</v>
      </c>
      <c r="I15" s="16" t="n">
        <f aca="false">IF(I12=0,0,I11/I12)</f>
        <v>0.260076714741803</v>
      </c>
      <c r="J15" s="16" t="n">
        <f aca="false">IF(J12=0,0,J11/J12)</f>
        <v>0.425085795685663</v>
      </c>
      <c r="K15" s="16" t="n">
        <f aca="false">IF(K12=0,0,K11/K12)</f>
        <v>0.420745783303731</v>
      </c>
      <c r="L15" s="16" t="n">
        <f aca="false">IF(L12=0,0,L11/L12)</f>
        <v>0.404562602471575</v>
      </c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customFormat="false" ht="15" hidden="false" customHeight="false" outlineLevel="0" collapsed="false">
      <c r="A18" s="3" t="s">
        <v>78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customFormat="false" ht="15" hidden="false" customHeight="false" outlineLevel="0" collapsed="false">
      <c r="A19" s="2" t="s">
        <v>67</v>
      </c>
      <c r="B19" s="2"/>
      <c r="C19" s="13" t="n">
        <f aca="false">Inputs!$B$4</f>
        <v>252555</v>
      </c>
      <c r="D19" s="13" t="n">
        <f aca="false">Inputs!$B$5</f>
        <v>728271</v>
      </c>
      <c r="E19" s="13" t="n">
        <f aca="false">Inputs!$B$6</f>
        <v>948561</v>
      </c>
      <c r="F19" s="13" t="n">
        <f aca="false">Inputs!$B$7</f>
        <v>1149334</v>
      </c>
      <c r="G19" s="13" t="n">
        <f aca="false">Inputs!$B$10</f>
        <v>1479000</v>
      </c>
      <c r="H19" s="14" t="n">
        <f aca="false">G19*(1+Inputs!$C$13)</f>
        <v>1774800</v>
      </c>
      <c r="I19" s="14" t="n">
        <f aca="false">H19*(1+Inputs!$C$13)</f>
        <v>2129760</v>
      </c>
      <c r="J19" s="14" t="n">
        <f aca="false">I19*(1+Inputs!$C$13)</f>
        <v>2555712</v>
      </c>
      <c r="K19" s="14" t="n">
        <f aca="false">J19*(1+Inputs!$C$13)</f>
        <v>3066854.4</v>
      </c>
      <c r="L19" s="14" t="n">
        <f aca="false">K19*(1+Inputs!$C$13)</f>
        <v>3680225.28</v>
      </c>
    </row>
    <row r="20" customFormat="false" ht="15" hidden="false" customHeight="false" outlineLevel="0" collapsed="false">
      <c r="A20" s="2" t="s">
        <v>68</v>
      </c>
      <c r="B20" s="2"/>
      <c r="C20" s="14" t="n">
        <f aca="false">C19</f>
        <v>252555</v>
      </c>
      <c r="D20" s="14" t="n">
        <f aca="false">C20*(1-Inputs!$B$18)+D19</f>
        <v>973249.35</v>
      </c>
      <c r="E20" s="14" t="n">
        <f aca="false">D20*(1-Inputs!$B$18)+E19</f>
        <v>1892612.8695</v>
      </c>
      <c r="F20" s="14" t="n">
        <f aca="false">E20*(1-Inputs!$B$18)+F19</f>
        <v>2985168.483415</v>
      </c>
      <c r="G20" s="14" t="n">
        <f aca="false">F20*(1-Inputs!$B$18)+G19</f>
        <v>4374613.42891255</v>
      </c>
      <c r="H20" s="14" t="n">
        <f aca="false">G20*(1-Inputs!$B$18)+H19</f>
        <v>6018175.02604517</v>
      </c>
      <c r="I20" s="14" t="n">
        <f aca="false">H20*(1-Inputs!$B$18)+I19</f>
        <v>7967389.77526382</v>
      </c>
      <c r="J20" s="14" t="n">
        <f aca="false">I20*(1-Inputs!$B$18)+J19</f>
        <v>10284080.0820059</v>
      </c>
      <c r="K20" s="14" t="n">
        <f aca="false">J20*(1-Inputs!$B$18)+K19</f>
        <v>13042412.0795457</v>
      </c>
      <c r="L20" s="14" t="n">
        <f aca="false">K20*(1-Inputs!$B$18)+L19</f>
        <v>16331364.9971594</v>
      </c>
    </row>
    <row r="21" customFormat="false" ht="15" hidden="false" customHeight="false" outlineLevel="0" collapsed="false">
      <c r="A21" s="2" t="s">
        <v>69</v>
      </c>
      <c r="B21" s="2"/>
      <c r="C21" s="14" t="n">
        <f aca="false">C20-C19</f>
        <v>0</v>
      </c>
      <c r="D21" s="14" t="n">
        <f aca="false">D20-D19</f>
        <v>244978.35</v>
      </c>
      <c r="E21" s="14" t="n">
        <f aca="false">E20-E19</f>
        <v>944051.8695</v>
      </c>
      <c r="F21" s="14" t="n">
        <f aca="false">F20-F19</f>
        <v>1835834.483415</v>
      </c>
      <c r="G21" s="14" t="n">
        <f aca="false">G20-G19</f>
        <v>2895613.42891255</v>
      </c>
      <c r="H21" s="14" t="n">
        <f aca="false">H20-H19</f>
        <v>4243375.02604517</v>
      </c>
      <c r="I21" s="14" t="n">
        <f aca="false">I20-I19</f>
        <v>5837629.77526382</v>
      </c>
      <c r="J21" s="14" t="n">
        <f aca="false">J20-J19</f>
        <v>7728368.0820059</v>
      </c>
      <c r="K21" s="14" t="n">
        <f aca="false">K20-K19</f>
        <v>9975557.67954573</v>
      </c>
      <c r="L21" s="14" t="n">
        <f aca="false">L20-L19</f>
        <v>12651139.7171594</v>
      </c>
    </row>
    <row r="22" customFormat="false" ht="15" hidden="false" customHeight="false" outlineLevel="0" collapsed="false">
      <c r="A22" s="2" t="s">
        <v>70</v>
      </c>
      <c r="B22" s="2"/>
      <c r="C22" s="14" t="n">
        <f aca="false">C21*Inputs!$C$14/10^7</f>
        <v>0</v>
      </c>
      <c r="D22" s="14" t="n">
        <f aca="false">D21*Inputs!$C$14/10^7</f>
        <v>73.493505</v>
      </c>
      <c r="E22" s="14" t="n">
        <f aca="false">E21*Inputs!$C$14/10^7</f>
        <v>283.21556085</v>
      </c>
      <c r="F22" s="14" t="n">
        <f aca="false">F21*Inputs!$C$14/10^7</f>
        <v>550.7503450245</v>
      </c>
      <c r="G22" s="14" t="n">
        <f aca="false">G21*Inputs!$C$14/10^7</f>
        <v>868.684028673765</v>
      </c>
      <c r="H22" s="14" t="n">
        <f aca="false">H21*Inputs!$C$14/10^7</f>
        <v>1273.01250781355</v>
      </c>
      <c r="I22" s="14" t="n">
        <f aca="false">I21*Inputs!$C$14/10^7</f>
        <v>1751.28893257915</v>
      </c>
      <c r="J22" s="14" t="n">
        <f aca="false">J21*Inputs!$C$14/10^7</f>
        <v>2318.51042460177</v>
      </c>
      <c r="K22" s="14" t="n">
        <f aca="false">K21*Inputs!$C$14/10^7</f>
        <v>2992.66730386372</v>
      </c>
      <c r="L22" s="14" t="n">
        <f aca="false">L21*Inputs!$C$14/10^7</f>
        <v>3795.34191514781</v>
      </c>
    </row>
    <row r="23" customFormat="false" ht="15" hidden="false" customHeight="false" outlineLevel="0" collapsed="false">
      <c r="A23" s="2" t="s">
        <v>71</v>
      </c>
      <c r="B23" s="2"/>
      <c r="C23" s="14" t="n">
        <f aca="true">IF(C$2-Inputs!$B$21&lt;2022,0,OFFSET(C19,0,-Inputs!$B$21)*Inputs!$C$15*(1-Inputs!$B$18)^Inputs!$B$21)</f>
        <v>0</v>
      </c>
      <c r="D23" s="14" t="n">
        <f aca="true">IF(D$2-Inputs!$B$21&lt;2022,0,OFFSET(D19,0,-Inputs!$B$21)*Inputs!$C$15*(1-Inputs!$B$18)^Inputs!$B$21)</f>
        <v>0</v>
      </c>
      <c r="E23" s="14" t="n">
        <f aca="true">IF(E$2-Inputs!$B$21&lt;2022,0,OFFSET(E19,0,-Inputs!$B$21)*Inputs!$C$15*(1-Inputs!$B$18)^Inputs!$B$21)</f>
        <v>0</v>
      </c>
      <c r="F23" s="14" t="n">
        <f aca="true">IF(F$2-Inputs!$B$21&lt;2022,0,OFFSET(F19,0,-Inputs!$B$21)*Inputs!$C$15*(1-Inputs!$B$18)^Inputs!$B$21)</f>
        <v>0</v>
      </c>
      <c r="G23" s="14" t="n">
        <f aca="true">IF(G$2-Inputs!$B$21&lt;2022,0,OFFSET(G19,0,-Inputs!$B$21)*Inputs!$C$15*(1-Inputs!$B$18)^Inputs!$B$21)</f>
        <v>0</v>
      </c>
      <c r="H23" s="14" t="n">
        <f aca="true">IF(H$2-Inputs!$B$21&lt;2022,0,OFFSET(H19,0,-Inputs!$B$21)*Inputs!$C$15*(1-Inputs!$B$18)^Inputs!$B$21)</f>
        <v>0</v>
      </c>
      <c r="I23" s="14" t="n">
        <f aca="true">IF(I$2-Inputs!$B$21&lt;2022,0,OFFSET(I19,0,-Inputs!$B$21)*Inputs!$C$15*(1-Inputs!$B$18)^Inputs!$B$21)</f>
        <v>105185.622352422</v>
      </c>
      <c r="J23" s="14" t="n">
        <f aca="true">IF(J$2-Inputs!$B$21&lt;2022,0,OFFSET(J19,0,-Inputs!$B$21)*Inputs!$C$15*(1-Inputs!$B$18)^Inputs!$B$21)</f>
        <v>303314.677500824</v>
      </c>
      <c r="K23" s="14" t="n">
        <f aca="true">IF(K$2-Inputs!$B$21&lt;2022,0,OFFSET(K19,0,-Inputs!$B$21)*Inputs!$C$15*(1-Inputs!$B$18)^Inputs!$B$21)</f>
        <v>395062.378983729</v>
      </c>
      <c r="L23" s="14" t="n">
        <f aca="true">IF(L$2-Inputs!$B$21&lt;2022,0,OFFSET(L19,0,-Inputs!$B$21)*Inputs!$C$15*(1-Inputs!$B$18)^Inputs!$B$21)</f>
        <v>478681.523156534</v>
      </c>
    </row>
    <row r="24" customFormat="false" ht="15" hidden="false" customHeight="false" outlineLevel="0" collapsed="false">
      <c r="A24" s="2" t="s">
        <v>72</v>
      </c>
      <c r="B24" s="2"/>
      <c r="C24" s="14" t="n">
        <f aca="false">Inputs!$B$19*(1-Inputs!$B$20)^(C$2-2026)</f>
        <v>73524.2994668245</v>
      </c>
      <c r="D24" s="14" t="n">
        <f aca="false">Inputs!$B$19*(1-Inputs!$B$20)^(D$2-2026)</f>
        <v>68377.5985041468</v>
      </c>
      <c r="E24" s="14" t="n">
        <f aca="false">Inputs!$B$19*(1-Inputs!$B$20)^(E$2-2026)</f>
        <v>63591.1666088565</v>
      </c>
      <c r="F24" s="14" t="n">
        <f aca="false">Inputs!$B$19*(1-Inputs!$B$20)^(F$2-2026)</f>
        <v>59139.7849462366</v>
      </c>
      <c r="G24" s="14" t="n">
        <f aca="false">Inputs!$B$19*(1-Inputs!$B$20)^(G$2-2026)</f>
        <v>55000</v>
      </c>
      <c r="H24" s="14" t="n">
        <f aca="false">Inputs!$B$19*(1-Inputs!$B$20)^(H$2-2026)</f>
        <v>51150</v>
      </c>
      <c r="I24" s="14" t="n">
        <f aca="false">Inputs!$B$19*(1-Inputs!$B$20)^(I$2-2026)</f>
        <v>47569.5</v>
      </c>
      <c r="J24" s="14" t="n">
        <f aca="false">Inputs!$B$19*(1-Inputs!$B$20)^(J$2-2026)</f>
        <v>44239.635</v>
      </c>
      <c r="K24" s="14" t="n">
        <f aca="false">Inputs!$B$19*(1-Inputs!$B$20)^(K$2-2026)</f>
        <v>41142.86055</v>
      </c>
      <c r="L24" s="14" t="n">
        <f aca="false">Inputs!$B$19*(1-Inputs!$B$20)^(L$2-2026)</f>
        <v>38262.8603115</v>
      </c>
    </row>
    <row r="25" customFormat="false" ht="15" hidden="false" customHeight="false" outlineLevel="0" collapsed="false">
      <c r="A25" s="2" t="s">
        <v>73</v>
      </c>
      <c r="B25" s="2"/>
      <c r="C25" s="14" t="n">
        <f aca="false">C23*C24/10^7</f>
        <v>0</v>
      </c>
      <c r="D25" s="14" t="n">
        <f aca="false">D23*D24/10^7</f>
        <v>0</v>
      </c>
      <c r="E25" s="14" t="n">
        <f aca="false">E23*E24/10^7</f>
        <v>0</v>
      </c>
      <c r="F25" s="14" t="n">
        <f aca="false">F23*F24/10^7</f>
        <v>0</v>
      </c>
      <c r="G25" s="14" t="n">
        <f aca="false">G23*G24/10^7</f>
        <v>0</v>
      </c>
      <c r="H25" s="14" t="n">
        <f aca="false">H23*H24/10^7</f>
        <v>0</v>
      </c>
      <c r="I25" s="14" t="n">
        <f aca="false">I23*I24/10^7</f>
        <v>500.362746249353</v>
      </c>
      <c r="J25" s="14" t="n">
        <f aca="false">J23*J24/10^7</f>
        <v>1341.85306227792</v>
      </c>
      <c r="K25" s="14" t="n">
        <f aca="false">K23*K24/10^7</f>
        <v>1625.39963670788</v>
      </c>
      <c r="L25" s="14" t="n">
        <f aca="false">L23*L24/10^7</f>
        <v>1831.57242542345</v>
      </c>
    </row>
    <row r="26" customFormat="false" ht="15" hidden="false" customHeight="false" outlineLevel="0" collapsed="false">
      <c r="A26" s="2" t="s">
        <v>74</v>
      </c>
      <c r="B26" s="2"/>
      <c r="C26" s="15" t="n">
        <f aca="false">C22+C25</f>
        <v>0</v>
      </c>
      <c r="D26" s="15" t="n">
        <f aca="false">D22+D25</f>
        <v>73.493505</v>
      </c>
      <c r="E26" s="15" t="n">
        <f aca="false">E22+E25</f>
        <v>283.21556085</v>
      </c>
      <c r="F26" s="15" t="n">
        <f aca="false">F22+F25</f>
        <v>550.7503450245</v>
      </c>
      <c r="G26" s="15" t="n">
        <f aca="false">G22+G25</f>
        <v>868.684028673765</v>
      </c>
      <c r="H26" s="15" t="n">
        <f aca="false">H22+H25</f>
        <v>1273.01250781355</v>
      </c>
      <c r="I26" s="15" t="n">
        <f aca="false">I22+I25</f>
        <v>2251.6516788285</v>
      </c>
      <c r="J26" s="15" t="n">
        <f aca="false">J22+J25</f>
        <v>3660.36348687969</v>
      </c>
      <c r="K26" s="15" t="n">
        <f aca="false">K22+K25</f>
        <v>4618.0669405716</v>
      </c>
      <c r="L26" s="15" t="n">
        <f aca="false">L22+L25</f>
        <v>5626.91434057126</v>
      </c>
    </row>
    <row r="27" customFormat="false" ht="15" hidden="false" customHeight="false" outlineLevel="0" collapsed="false">
      <c r="A27" s="2" t="s">
        <v>75</v>
      </c>
      <c r="B27" s="2"/>
      <c r="C27" s="14" t="n">
        <f aca="false">C26*Inputs!$B$22</f>
        <v>0</v>
      </c>
      <c r="D27" s="14" t="n">
        <f aca="false">D26*Inputs!$B$22</f>
        <v>18.37337625</v>
      </c>
      <c r="E27" s="14" t="n">
        <f aca="false">E26*Inputs!$B$22</f>
        <v>70.8038902125</v>
      </c>
      <c r="F27" s="14" t="n">
        <f aca="false">F26*Inputs!$B$22</f>
        <v>137.687586256125</v>
      </c>
      <c r="G27" s="14" t="n">
        <f aca="false">G26*Inputs!$B$22</f>
        <v>217.171007168441</v>
      </c>
      <c r="H27" s="14" t="n">
        <f aca="false">H26*Inputs!$B$22</f>
        <v>318.253126953388</v>
      </c>
      <c r="I27" s="14" t="n">
        <f aca="false">I26*Inputs!$B$22</f>
        <v>562.912919707125</v>
      </c>
      <c r="J27" s="14" t="n">
        <f aca="false">J26*Inputs!$B$22</f>
        <v>915.090871719922</v>
      </c>
      <c r="K27" s="14" t="n">
        <f aca="false">K26*Inputs!$B$22</f>
        <v>1154.5167351429</v>
      </c>
      <c r="L27" s="14" t="n">
        <f aca="false">L26*Inputs!$B$22</f>
        <v>1406.72858514281</v>
      </c>
    </row>
    <row r="28" customFormat="false" ht="15" hidden="false" customHeight="false" outlineLevel="0" collapsed="false">
      <c r="A28" s="2" t="s">
        <v>76</v>
      </c>
      <c r="B28" s="2"/>
      <c r="C28" s="14" t="n">
        <f aca="false">C26*Inputs!$B$23</f>
        <v>0</v>
      </c>
      <c r="D28" s="14" t="n">
        <f aca="false">D26*Inputs!$B$23</f>
        <v>6.61441545</v>
      </c>
      <c r="E28" s="14" t="n">
        <f aca="false">E26*Inputs!$B$23</f>
        <v>25.4894004765</v>
      </c>
      <c r="F28" s="14" t="n">
        <f aca="false">F26*Inputs!$B$23</f>
        <v>49.567531052205</v>
      </c>
      <c r="G28" s="14" t="n">
        <f aca="false">G26*Inputs!$B$23</f>
        <v>78.1815625806388</v>
      </c>
      <c r="H28" s="14" t="n">
        <f aca="false">H26*Inputs!$B$23</f>
        <v>114.57112570322</v>
      </c>
      <c r="I28" s="14" t="n">
        <f aca="false">I26*Inputs!$B$23</f>
        <v>202.648651094565</v>
      </c>
      <c r="J28" s="14" t="n">
        <f aca="false">J26*Inputs!$B$23</f>
        <v>329.432713819172</v>
      </c>
      <c r="K28" s="14" t="n">
        <f aca="false">K26*Inputs!$B$23</f>
        <v>415.626024651444</v>
      </c>
      <c r="L28" s="14" t="n">
        <f aca="false">L26*Inputs!$B$23</f>
        <v>506.422290651413</v>
      </c>
    </row>
    <row r="29" customFormat="false" ht="15" hidden="false" customHeight="false" outlineLevel="0" collapsed="false">
      <c r="A29" s="2" t="s">
        <v>77</v>
      </c>
      <c r="B29" s="2"/>
      <c r="C29" s="16" t="n">
        <f aca="false">IF(C26=0,0,C25/C26)</f>
        <v>0</v>
      </c>
      <c r="D29" s="16" t="n">
        <f aca="false">IF(D26=0,0,D25/D26)</f>
        <v>0</v>
      </c>
      <c r="E29" s="16" t="n">
        <f aca="false">IF(E26=0,0,E25/E26)</f>
        <v>0</v>
      </c>
      <c r="F29" s="16" t="n">
        <f aca="false">IF(F26=0,0,F25/F26)</f>
        <v>0</v>
      </c>
      <c r="G29" s="16" t="n">
        <f aca="false">IF(G26=0,0,G25/G26)</f>
        <v>0</v>
      </c>
      <c r="H29" s="16" t="n">
        <f aca="false">IF(H26=0,0,H25/H26)</f>
        <v>0</v>
      </c>
      <c r="I29" s="16" t="n">
        <f aca="false">IF(I26=0,0,I25/I26)</f>
        <v>0.222220315404061</v>
      </c>
      <c r="J29" s="16" t="n">
        <f aca="false">IF(J26=0,0,J25/J26)</f>
        <v>0.366590112454048</v>
      </c>
      <c r="K29" s="16" t="n">
        <f aca="false">IF(K26=0,0,K25/K26)</f>
        <v>0.351965369412055</v>
      </c>
      <c r="L29" s="16" t="n">
        <f aca="false">IF(L26=0,0,L25/L26)</f>
        <v>0.325502098408966</v>
      </c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customFormat="false" ht="15" hidden="false" customHeight="false" outlineLevel="0" collapsed="false">
      <c r="A32" s="3" t="s">
        <v>79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customFormat="false" ht="15" hidden="false" customHeight="false" outlineLevel="0" collapsed="false">
      <c r="A33" s="2" t="s">
        <v>67</v>
      </c>
      <c r="B33" s="2"/>
      <c r="C33" s="13" t="n">
        <f aca="false">Inputs!$B$4</f>
        <v>252555</v>
      </c>
      <c r="D33" s="13" t="n">
        <f aca="false">Inputs!$B$5</f>
        <v>728271</v>
      </c>
      <c r="E33" s="13" t="n">
        <f aca="false">Inputs!$B$6</f>
        <v>948561</v>
      </c>
      <c r="F33" s="13" t="n">
        <f aca="false">Inputs!$B$7</f>
        <v>1149334</v>
      </c>
      <c r="G33" s="13" t="n">
        <f aca="false">Inputs!$B$10</f>
        <v>1479000</v>
      </c>
      <c r="H33" s="14" t="n">
        <f aca="false">G33*(1+Inputs!$D$13)</f>
        <v>1922700</v>
      </c>
      <c r="I33" s="14" t="n">
        <f aca="false">H33*(1+Inputs!$D$13)</f>
        <v>2499510</v>
      </c>
      <c r="J33" s="14" t="n">
        <f aca="false">I33*(1+Inputs!$D$13)</f>
        <v>3249363</v>
      </c>
      <c r="K33" s="14" t="n">
        <f aca="false">J33*(1+Inputs!$D$13)</f>
        <v>4224171.9</v>
      </c>
      <c r="L33" s="14" t="n">
        <f aca="false">K33*(1+Inputs!$D$13)</f>
        <v>5491423.47</v>
      </c>
    </row>
    <row r="34" customFormat="false" ht="15" hidden="false" customHeight="false" outlineLevel="0" collapsed="false">
      <c r="A34" s="2" t="s">
        <v>68</v>
      </c>
      <c r="B34" s="2"/>
      <c r="C34" s="14" t="n">
        <f aca="false">C33</f>
        <v>252555</v>
      </c>
      <c r="D34" s="14" t="n">
        <f aca="false">C34*(1-Inputs!$B$18)+D33</f>
        <v>973249.35</v>
      </c>
      <c r="E34" s="14" t="n">
        <f aca="false">D34*(1-Inputs!$B$18)+E33</f>
        <v>1892612.8695</v>
      </c>
      <c r="F34" s="14" t="n">
        <f aca="false">E34*(1-Inputs!$B$18)+F33</f>
        <v>2985168.483415</v>
      </c>
      <c r="G34" s="14" t="n">
        <f aca="false">F34*(1-Inputs!$B$18)+G33</f>
        <v>4374613.42891255</v>
      </c>
      <c r="H34" s="14" t="n">
        <f aca="false">G34*(1-Inputs!$B$18)+H33</f>
        <v>6166075.02604517</v>
      </c>
      <c r="I34" s="14" t="n">
        <f aca="false">H34*(1-Inputs!$B$18)+I33</f>
        <v>8480602.77526382</v>
      </c>
      <c r="J34" s="14" t="n">
        <f aca="false">I34*(1-Inputs!$B$18)+J33</f>
        <v>11475547.6920059</v>
      </c>
      <c r="K34" s="14" t="n">
        <f aca="false">J34*(1-Inputs!$B$18)+K33</f>
        <v>15355453.1612457</v>
      </c>
      <c r="L34" s="14" t="n">
        <f aca="false">K34*(1-Inputs!$B$18)+L33</f>
        <v>20386213.0364084</v>
      </c>
    </row>
    <row r="35" customFormat="false" ht="15" hidden="false" customHeight="false" outlineLevel="0" collapsed="false">
      <c r="A35" s="2" t="s">
        <v>69</v>
      </c>
      <c r="B35" s="2"/>
      <c r="C35" s="14" t="n">
        <f aca="false">C34-C33</f>
        <v>0</v>
      </c>
      <c r="D35" s="14" t="n">
        <f aca="false">D34-D33</f>
        <v>244978.35</v>
      </c>
      <c r="E35" s="14" t="n">
        <f aca="false">E34-E33</f>
        <v>944051.8695</v>
      </c>
      <c r="F35" s="14" t="n">
        <f aca="false">F34-F33</f>
        <v>1835834.483415</v>
      </c>
      <c r="G35" s="14" t="n">
        <f aca="false">G34-G33</f>
        <v>2895613.42891255</v>
      </c>
      <c r="H35" s="14" t="n">
        <f aca="false">H34-H33</f>
        <v>4243375.02604517</v>
      </c>
      <c r="I35" s="14" t="n">
        <f aca="false">I34-I33</f>
        <v>5981092.77526382</v>
      </c>
      <c r="J35" s="14" t="n">
        <f aca="false">J34-J33</f>
        <v>8226184.6920059</v>
      </c>
      <c r="K35" s="14" t="n">
        <f aca="false">K34-K33</f>
        <v>11131281.2612457</v>
      </c>
      <c r="L35" s="14" t="n">
        <f aca="false">L34-L33</f>
        <v>14894789.5664084</v>
      </c>
    </row>
    <row r="36" customFormat="false" ht="15" hidden="false" customHeight="false" outlineLevel="0" collapsed="false">
      <c r="A36" s="2" t="s">
        <v>70</v>
      </c>
      <c r="B36" s="2"/>
      <c r="C36" s="14" t="n">
        <f aca="false">C35*Inputs!$D$14/10^7</f>
        <v>0</v>
      </c>
      <c r="D36" s="14" t="n">
        <f aca="false">D35*Inputs!$D$14/10^7</f>
        <v>97.99134</v>
      </c>
      <c r="E36" s="14" t="n">
        <f aca="false">E35*Inputs!$D$14/10^7</f>
        <v>377.6207478</v>
      </c>
      <c r="F36" s="14" t="n">
        <f aca="false">F35*Inputs!$D$14/10^7</f>
        <v>734.333793366</v>
      </c>
      <c r="G36" s="14" t="n">
        <f aca="false">G35*Inputs!$D$14/10^7</f>
        <v>1158.24537156502</v>
      </c>
      <c r="H36" s="14" t="n">
        <f aca="false">H35*Inputs!$D$14/10^7</f>
        <v>1697.35001041807</v>
      </c>
      <c r="I36" s="14" t="n">
        <f aca="false">I35*Inputs!$D$14/10^7</f>
        <v>2392.43711010553</v>
      </c>
      <c r="J36" s="14" t="n">
        <f aca="false">J35*Inputs!$D$14/10^7</f>
        <v>3290.47387680236</v>
      </c>
      <c r="K36" s="14" t="n">
        <f aca="false">K35*Inputs!$D$14/10^7</f>
        <v>4452.51250449829</v>
      </c>
      <c r="L36" s="14" t="n">
        <f aca="false">L35*Inputs!$D$14/10^7</f>
        <v>5957.91582656334</v>
      </c>
    </row>
    <row r="37" customFormat="false" ht="15" hidden="false" customHeight="false" outlineLevel="0" collapsed="false">
      <c r="A37" s="2" t="s">
        <v>71</v>
      </c>
      <c r="B37" s="2"/>
      <c r="C37" s="14" t="n">
        <f aca="true">IF(C$2-Inputs!$B$21&lt;2022,0,OFFSET(C33,0,-Inputs!$B$21)*Inputs!$D$15*(1-Inputs!$B$18)^Inputs!$B$21)</f>
        <v>0</v>
      </c>
      <c r="D37" s="14" t="n">
        <f aca="true">IF(D$2-Inputs!$B$21&lt;2022,0,OFFSET(D33,0,-Inputs!$B$21)*Inputs!$D$15*(1-Inputs!$B$18)^Inputs!$B$21)</f>
        <v>0</v>
      </c>
      <c r="E37" s="14" t="n">
        <f aca="true">IF(E$2-Inputs!$B$21&lt;2022,0,OFFSET(E33,0,-Inputs!$B$21)*Inputs!$D$15*(1-Inputs!$B$18)^Inputs!$B$21)</f>
        <v>0</v>
      </c>
      <c r="F37" s="14" t="n">
        <f aca="true">IF(F$2-Inputs!$B$21&lt;2022,0,OFFSET(F33,0,-Inputs!$B$21)*Inputs!$D$15*(1-Inputs!$B$18)^Inputs!$B$21)</f>
        <v>0</v>
      </c>
      <c r="G37" s="14" t="n">
        <f aca="true">IF(G$2-Inputs!$B$21&lt;2022,0,OFFSET(G33,0,-Inputs!$B$21)*Inputs!$D$15*(1-Inputs!$B$18)^Inputs!$B$21)</f>
        <v>0</v>
      </c>
      <c r="H37" s="14" t="n">
        <f aca="true">IF(H$2-Inputs!$B$21&lt;2022,0,OFFSET(H33,0,-Inputs!$B$21)*Inputs!$D$15*(1-Inputs!$B$18)^Inputs!$B$21)</f>
        <v>0</v>
      </c>
      <c r="I37" s="14" t="n">
        <f aca="true">IF(I$2-Inputs!$B$21&lt;2022,0,OFFSET(I33,0,-Inputs!$B$21)*Inputs!$D$15*(1-Inputs!$B$18)^Inputs!$B$21)</f>
        <v>126222.746822906</v>
      </c>
      <c r="J37" s="14" t="n">
        <f aca="true">IF(J$2-Inputs!$B$21&lt;2022,0,OFFSET(J33,0,-Inputs!$B$21)*Inputs!$D$15*(1-Inputs!$B$18)^Inputs!$B$21)</f>
        <v>363977.613000989</v>
      </c>
      <c r="K37" s="14" t="n">
        <f aca="true">IF(K$2-Inputs!$B$21&lt;2022,0,OFFSET(K33,0,-Inputs!$B$21)*Inputs!$D$15*(1-Inputs!$B$18)^Inputs!$B$21)</f>
        <v>474074.854780474</v>
      </c>
      <c r="L37" s="14" t="n">
        <f aca="true">IF(L$2-Inputs!$B$21&lt;2022,0,OFFSET(L33,0,-Inputs!$B$21)*Inputs!$D$15*(1-Inputs!$B$18)^Inputs!$B$21)</f>
        <v>574417.82778784</v>
      </c>
    </row>
    <row r="38" customFormat="false" ht="15" hidden="false" customHeight="false" outlineLevel="0" collapsed="false">
      <c r="A38" s="2" t="s">
        <v>72</v>
      </c>
      <c r="B38" s="2"/>
      <c r="C38" s="14" t="n">
        <f aca="false">Inputs!$B$19*(1-Inputs!$B$20)^(C$2-2026)</f>
        <v>73524.2994668245</v>
      </c>
      <c r="D38" s="14" t="n">
        <f aca="false">Inputs!$B$19*(1-Inputs!$B$20)^(D$2-2026)</f>
        <v>68377.5985041468</v>
      </c>
      <c r="E38" s="14" t="n">
        <f aca="false">Inputs!$B$19*(1-Inputs!$B$20)^(E$2-2026)</f>
        <v>63591.1666088565</v>
      </c>
      <c r="F38" s="14" t="n">
        <f aca="false">Inputs!$B$19*(1-Inputs!$B$20)^(F$2-2026)</f>
        <v>59139.7849462366</v>
      </c>
      <c r="G38" s="14" t="n">
        <f aca="false">Inputs!$B$19*(1-Inputs!$B$20)^(G$2-2026)</f>
        <v>55000</v>
      </c>
      <c r="H38" s="14" t="n">
        <f aca="false">Inputs!$B$19*(1-Inputs!$B$20)^(H$2-2026)</f>
        <v>51150</v>
      </c>
      <c r="I38" s="14" t="n">
        <f aca="false">Inputs!$B$19*(1-Inputs!$B$20)^(I$2-2026)</f>
        <v>47569.5</v>
      </c>
      <c r="J38" s="14" t="n">
        <f aca="false">Inputs!$B$19*(1-Inputs!$B$20)^(J$2-2026)</f>
        <v>44239.635</v>
      </c>
      <c r="K38" s="14" t="n">
        <f aca="false">Inputs!$B$19*(1-Inputs!$B$20)^(K$2-2026)</f>
        <v>41142.86055</v>
      </c>
      <c r="L38" s="14" t="n">
        <f aca="false">Inputs!$B$19*(1-Inputs!$B$20)^(L$2-2026)</f>
        <v>38262.8603115</v>
      </c>
    </row>
    <row r="39" customFormat="false" ht="15" hidden="false" customHeight="false" outlineLevel="0" collapsed="false">
      <c r="A39" s="2" t="s">
        <v>73</v>
      </c>
      <c r="B39" s="2"/>
      <c r="C39" s="14" t="n">
        <f aca="false">C37*C38/10^7</f>
        <v>0</v>
      </c>
      <c r="D39" s="14" t="n">
        <f aca="false">D37*D38/10^7</f>
        <v>0</v>
      </c>
      <c r="E39" s="14" t="n">
        <f aca="false">E37*E38/10^7</f>
        <v>0</v>
      </c>
      <c r="F39" s="14" t="n">
        <f aca="false">F37*F38/10^7</f>
        <v>0</v>
      </c>
      <c r="G39" s="14" t="n">
        <f aca="false">G37*G38/10^7</f>
        <v>0</v>
      </c>
      <c r="H39" s="14" t="n">
        <f aca="false">H37*H38/10^7</f>
        <v>0</v>
      </c>
      <c r="I39" s="14" t="n">
        <f aca="false">I37*I38/10^7</f>
        <v>600.435295499223</v>
      </c>
      <c r="J39" s="14" t="n">
        <f aca="false">J37*J38/10^7</f>
        <v>1610.2236747335</v>
      </c>
      <c r="K39" s="14" t="n">
        <f aca="false">K37*K38/10^7</f>
        <v>1950.47956404945</v>
      </c>
      <c r="L39" s="14" t="n">
        <f aca="false">L37*L38/10^7</f>
        <v>2197.88691050814</v>
      </c>
    </row>
    <row r="40" customFormat="false" ht="15" hidden="false" customHeight="false" outlineLevel="0" collapsed="false">
      <c r="A40" s="2" t="s">
        <v>74</v>
      </c>
      <c r="B40" s="2"/>
      <c r="C40" s="15" t="n">
        <f aca="false">C36+C39</f>
        <v>0</v>
      </c>
      <c r="D40" s="15" t="n">
        <f aca="false">D36+D39</f>
        <v>97.99134</v>
      </c>
      <c r="E40" s="15" t="n">
        <f aca="false">E36+E39</f>
        <v>377.6207478</v>
      </c>
      <c r="F40" s="15" t="n">
        <f aca="false">F36+F39</f>
        <v>734.333793366</v>
      </c>
      <c r="G40" s="15" t="n">
        <f aca="false">G36+G39</f>
        <v>1158.24537156502</v>
      </c>
      <c r="H40" s="15" t="n">
        <f aca="false">H36+H39</f>
        <v>1697.35001041807</v>
      </c>
      <c r="I40" s="15" t="n">
        <f aca="false">I36+I39</f>
        <v>2992.87240560475</v>
      </c>
      <c r="J40" s="15" t="n">
        <f aca="false">J36+J39</f>
        <v>4900.69755153586</v>
      </c>
      <c r="K40" s="15" t="n">
        <f aca="false">K36+K39</f>
        <v>6402.99206854775</v>
      </c>
      <c r="L40" s="15" t="n">
        <f aca="false">L36+L39</f>
        <v>8155.80273707148</v>
      </c>
    </row>
    <row r="41" customFormat="false" ht="15" hidden="false" customHeight="false" outlineLevel="0" collapsed="false">
      <c r="A41" s="2" t="s">
        <v>75</v>
      </c>
      <c r="B41" s="2"/>
      <c r="C41" s="14" t="n">
        <f aca="false">C40*Inputs!$B$22</f>
        <v>0</v>
      </c>
      <c r="D41" s="14" t="n">
        <f aca="false">D40*Inputs!$B$22</f>
        <v>24.497835</v>
      </c>
      <c r="E41" s="14" t="n">
        <f aca="false">E40*Inputs!$B$22</f>
        <v>94.40518695</v>
      </c>
      <c r="F41" s="14" t="n">
        <f aca="false">F40*Inputs!$B$22</f>
        <v>183.5834483415</v>
      </c>
      <c r="G41" s="14" t="n">
        <f aca="false">G40*Inputs!$B$22</f>
        <v>289.561342891255</v>
      </c>
      <c r="H41" s="14" t="n">
        <f aca="false">H40*Inputs!$B$22</f>
        <v>424.337502604517</v>
      </c>
      <c r="I41" s="14" t="n">
        <f aca="false">I40*Inputs!$B$22</f>
        <v>748.218101401188</v>
      </c>
      <c r="J41" s="14" t="n">
        <f aca="false">J40*Inputs!$B$22</f>
        <v>1225.17438788396</v>
      </c>
      <c r="K41" s="14" t="n">
        <f aca="false">K40*Inputs!$B$22</f>
        <v>1600.74801713694</v>
      </c>
      <c r="L41" s="14" t="n">
        <f aca="false">L40*Inputs!$B$22</f>
        <v>2038.95068426787</v>
      </c>
    </row>
    <row r="42" customFormat="false" ht="15" hidden="false" customHeight="false" outlineLevel="0" collapsed="false">
      <c r="A42" s="2" t="s">
        <v>76</v>
      </c>
      <c r="B42" s="2"/>
      <c r="C42" s="14" t="n">
        <f aca="false">C40*Inputs!$B$23</f>
        <v>0</v>
      </c>
      <c r="D42" s="14" t="n">
        <f aca="false">D40*Inputs!$B$23</f>
        <v>8.8192206</v>
      </c>
      <c r="E42" s="14" t="n">
        <f aca="false">E40*Inputs!$B$23</f>
        <v>33.985867302</v>
      </c>
      <c r="F42" s="14" t="n">
        <f aca="false">F40*Inputs!$B$23</f>
        <v>66.09004140294</v>
      </c>
      <c r="G42" s="14" t="n">
        <f aca="false">G40*Inputs!$B$23</f>
        <v>104.242083440852</v>
      </c>
      <c r="H42" s="14" t="n">
        <f aca="false">H40*Inputs!$B$23</f>
        <v>152.761500937626</v>
      </c>
      <c r="I42" s="14" t="n">
        <f aca="false">I40*Inputs!$B$23</f>
        <v>269.358516504428</v>
      </c>
      <c r="J42" s="14" t="n">
        <f aca="false">J40*Inputs!$B$23</f>
        <v>441.062779638227</v>
      </c>
      <c r="K42" s="14" t="n">
        <f aca="false">K40*Inputs!$B$23</f>
        <v>576.269286169297</v>
      </c>
      <c r="L42" s="14" t="n">
        <f aca="false">L40*Inputs!$B$23</f>
        <v>734.022246336433</v>
      </c>
    </row>
    <row r="43" customFormat="false" ht="15" hidden="false" customHeight="false" outlineLevel="0" collapsed="false">
      <c r="A43" s="2" t="s">
        <v>77</v>
      </c>
      <c r="B43" s="2"/>
      <c r="C43" s="16" t="n">
        <f aca="false">IF(C40=0,0,C39/C40)</f>
        <v>0</v>
      </c>
      <c r="D43" s="16" t="n">
        <f aca="false">IF(D40=0,0,D39/D40)</f>
        <v>0</v>
      </c>
      <c r="E43" s="16" t="n">
        <f aca="false">IF(E40=0,0,E39/E40)</f>
        <v>0</v>
      </c>
      <c r="F43" s="16" t="n">
        <f aca="false">IF(F40=0,0,F39/F40)</f>
        <v>0</v>
      </c>
      <c r="G43" s="16" t="n">
        <f aca="false">IF(G40=0,0,G39/G40)</f>
        <v>0</v>
      </c>
      <c r="H43" s="16" t="n">
        <f aca="false">IF(H40=0,0,H39/H40)</f>
        <v>0</v>
      </c>
      <c r="I43" s="16" t="n">
        <f aca="false">IF(I40=0,0,I39/I40)</f>
        <v>0.200621748650156</v>
      </c>
      <c r="J43" s="16" t="n">
        <f aca="false">IF(J40=0,0,J39/J40)</f>
        <v>0.32857030204381</v>
      </c>
      <c r="K43" s="16" t="n">
        <f aca="false">IF(K40=0,0,K39/K40)</f>
        <v>0.304620018761298</v>
      </c>
      <c r="L43" s="16" t="n">
        <f aca="false">IF(L40=0,0,L39/L40)</f>
        <v>0.269487502501481</v>
      </c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customFormat="false" ht="15" hidden="false" customHeight="false" outlineLevel="0" collapsed="false">
      <c r="A47" s="2" t="s">
        <v>80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4"/>
  </cols>
  <sheetData>
    <row r="1" customFormat="false" ht="17.35" hidden="false" customHeight="false" outlineLevel="0" collapsed="false">
      <c r="A1" s="1" t="s">
        <v>81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false" outlineLevel="0" collapsed="false">
      <c r="A3" s="6" t="s">
        <v>82</v>
      </c>
      <c r="B3" s="6" t="s">
        <v>39</v>
      </c>
      <c r="C3" s="6" t="s">
        <v>40</v>
      </c>
      <c r="D3" s="6" t="s">
        <v>41</v>
      </c>
      <c r="E3" s="2"/>
      <c r="F3" s="2"/>
    </row>
    <row r="4" customFormat="false" ht="15" hidden="false" customHeight="false" outlineLevel="0" collapsed="false">
      <c r="A4" s="2" t="s">
        <v>83</v>
      </c>
      <c r="B4" s="9" t="n">
        <f aca="false">Model!$G$12</f>
        <v>579.12268578251</v>
      </c>
      <c r="C4" s="9" t="n">
        <f aca="false">Model!$G$26</f>
        <v>868.684028673765</v>
      </c>
      <c r="D4" s="9" t="n">
        <f aca="false">Model!$G$40</f>
        <v>1158.24537156502</v>
      </c>
      <c r="E4" s="2"/>
      <c r="F4" s="2"/>
    </row>
    <row r="5" customFormat="false" ht="15" hidden="false" customHeight="false" outlineLevel="0" collapsed="false">
      <c r="A5" s="2" t="s">
        <v>84</v>
      </c>
      <c r="B5" s="9" t="n">
        <f aca="false">Model!$L$12</f>
        <v>3621.83239722883</v>
      </c>
      <c r="C5" s="9" t="n">
        <f aca="false">Model!$L$26</f>
        <v>5626.91434057126</v>
      </c>
      <c r="D5" s="9" t="n">
        <f aca="false">Model!$L$40</f>
        <v>8155.80273707148</v>
      </c>
      <c r="E5" s="2"/>
      <c r="F5" s="2"/>
    </row>
    <row r="6" customFormat="false" ht="15" hidden="false" customHeight="false" outlineLevel="0" collapsed="false">
      <c r="A6" s="2" t="s">
        <v>85</v>
      </c>
      <c r="B6" s="17" t="n">
        <f aca="false">(Model!$L$12/Model!$G$12)^(1/5)-1</f>
        <v>0.442884454150624</v>
      </c>
      <c r="C6" s="17" t="n">
        <f aca="false">(Model!$L$26/Model!$G$26)^(1/5)-1</f>
        <v>0.453053796190203</v>
      </c>
      <c r="D6" s="17" t="n">
        <f aca="false">(Model!$L$40/Model!$G$40)^(1/5)-1</f>
        <v>0.477519522468475</v>
      </c>
      <c r="E6" s="2"/>
      <c r="F6" s="2"/>
    </row>
    <row r="7" customFormat="false" ht="15" hidden="false" customHeight="false" outlineLevel="0" collapsed="false">
      <c r="A7" s="2" t="s">
        <v>86</v>
      </c>
      <c r="B7" s="18" t="n">
        <f aca="false">Model!$L$6/10^6</f>
        <v>13.1648165744504</v>
      </c>
      <c r="C7" s="18" t="n">
        <f aca="false">Model!$L$20/10^6</f>
        <v>16.3313649971594</v>
      </c>
      <c r="D7" s="18" t="n">
        <f aca="false">Model!$L$34/10^6</f>
        <v>20.3862130364084</v>
      </c>
      <c r="E7" s="2"/>
      <c r="F7" s="2"/>
    </row>
    <row r="8" customFormat="false" ht="15" hidden="false" customHeight="false" outlineLevel="0" collapsed="false">
      <c r="A8" s="2" t="s">
        <v>87</v>
      </c>
      <c r="B8" s="17" t="n">
        <f aca="false">Model!$L$11/Model!$L$12</f>
        <v>0.404562602471575</v>
      </c>
      <c r="C8" s="17" t="n">
        <f aca="false">Model!$L$25/Model!$L$26</f>
        <v>0.325502098408966</v>
      </c>
      <c r="D8" s="17" t="n">
        <f aca="false">Model!$L$39/Model!$L$40</f>
        <v>0.269487502501481</v>
      </c>
      <c r="E8" s="2"/>
      <c r="F8" s="2"/>
    </row>
    <row r="9" customFormat="false" ht="15" hidden="false" customHeight="false" outlineLevel="0" collapsed="false">
      <c r="A9" s="2" t="s">
        <v>88</v>
      </c>
      <c r="B9" s="9" t="n">
        <f aca="false">Model!$L$13</f>
        <v>905.458099307208</v>
      </c>
      <c r="C9" s="9" t="n">
        <f aca="false">Model!$L$27</f>
        <v>1406.72858514281</v>
      </c>
      <c r="D9" s="9" t="n">
        <f aca="false">Model!$L$41</f>
        <v>2038.95068426787</v>
      </c>
      <c r="E9" s="2"/>
      <c r="F9" s="2"/>
    </row>
    <row r="10" customFormat="false" ht="15" hidden="false" customHeight="false" outlineLevel="0" collapsed="false">
      <c r="A10" s="2" t="s">
        <v>89</v>
      </c>
      <c r="B10" s="9" t="n">
        <f aca="false">Model!$L$14</f>
        <v>325.964915750595</v>
      </c>
      <c r="C10" s="9" t="n">
        <f aca="false">Model!$L$28</f>
        <v>506.422290651413</v>
      </c>
      <c r="D10" s="9" t="n">
        <f aca="false">Model!$L$42</f>
        <v>734.022246336433</v>
      </c>
      <c r="E10" s="2"/>
      <c r="F10" s="2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</row>
    <row r="13" customFormat="false" ht="15" hidden="false" customHeight="false" outlineLevel="0" collapsed="false">
      <c r="A13" s="3" t="s">
        <v>90</v>
      </c>
      <c r="B13" s="2"/>
      <c r="C13" s="2"/>
      <c r="D13" s="2"/>
      <c r="E13" s="2"/>
      <c r="F13" s="2"/>
    </row>
    <row r="14" customFormat="false" ht="15" hidden="false" customHeight="false" outlineLevel="0" collapsed="false">
      <c r="A14" s="6" t="s">
        <v>65</v>
      </c>
      <c r="B14" s="6" t="s">
        <v>39</v>
      </c>
      <c r="C14" s="6" t="s">
        <v>40</v>
      </c>
      <c r="D14" s="6" t="s">
        <v>41</v>
      </c>
      <c r="E14" s="6" t="s">
        <v>91</v>
      </c>
      <c r="F14" s="6" t="s">
        <v>92</v>
      </c>
    </row>
    <row r="15" customFormat="false" ht="15" hidden="false" customHeight="false" outlineLevel="0" collapsed="false">
      <c r="A15" s="2" t="s">
        <v>93</v>
      </c>
      <c r="B15" s="9" t="n">
        <f aca="false">Model!$C$12</f>
        <v>0</v>
      </c>
      <c r="C15" s="9" t="n">
        <f aca="false">Model!$C$26</f>
        <v>0</v>
      </c>
      <c r="D15" s="9" t="n">
        <f aca="false">Model!$C$40</f>
        <v>0</v>
      </c>
      <c r="E15" s="9" t="n">
        <f aca="false">Model!$C$22</f>
        <v>0</v>
      </c>
      <c r="F15" s="9" t="n">
        <f aca="false">Model!$C$25</f>
        <v>0</v>
      </c>
    </row>
    <row r="16" customFormat="false" ht="15" hidden="false" customHeight="false" outlineLevel="0" collapsed="false">
      <c r="A16" s="2" t="s">
        <v>94</v>
      </c>
      <c r="B16" s="9" t="n">
        <f aca="false">Model!$D$12</f>
        <v>48.99567</v>
      </c>
      <c r="C16" s="9" t="n">
        <f aca="false">Model!$D$26</f>
        <v>73.493505</v>
      </c>
      <c r="D16" s="9" t="n">
        <f aca="false">Model!$D$40</f>
        <v>97.99134</v>
      </c>
      <c r="E16" s="9" t="n">
        <f aca="false">Model!$D$22</f>
        <v>73.493505</v>
      </c>
      <c r="F16" s="9" t="n">
        <f aca="false">Model!$D$25</f>
        <v>0</v>
      </c>
    </row>
    <row r="17" customFormat="false" ht="15" hidden="false" customHeight="false" outlineLevel="0" collapsed="false">
      <c r="A17" s="2" t="s">
        <v>95</v>
      </c>
      <c r="B17" s="9" t="n">
        <f aca="false">Model!$E$12</f>
        <v>188.8103739</v>
      </c>
      <c r="C17" s="9" t="n">
        <f aca="false">Model!$E$26</f>
        <v>283.21556085</v>
      </c>
      <c r="D17" s="9" t="n">
        <f aca="false">Model!$E$40</f>
        <v>377.6207478</v>
      </c>
      <c r="E17" s="9" t="n">
        <f aca="false">Model!$E$22</f>
        <v>283.21556085</v>
      </c>
      <c r="F17" s="9" t="n">
        <f aca="false">Model!$E$25</f>
        <v>0</v>
      </c>
    </row>
    <row r="18" customFormat="false" ht="15" hidden="false" customHeight="false" outlineLevel="0" collapsed="false">
      <c r="A18" s="2" t="s">
        <v>96</v>
      </c>
      <c r="B18" s="9" t="n">
        <f aca="false">Model!$F$12</f>
        <v>367.166896683</v>
      </c>
      <c r="C18" s="9" t="n">
        <f aca="false">Model!$F$26</f>
        <v>550.7503450245</v>
      </c>
      <c r="D18" s="9" t="n">
        <f aca="false">Model!$F$40</f>
        <v>734.333793366</v>
      </c>
      <c r="E18" s="9" t="n">
        <f aca="false">Model!$F$22</f>
        <v>550.7503450245</v>
      </c>
      <c r="F18" s="9" t="n">
        <f aca="false">Model!$F$25</f>
        <v>0</v>
      </c>
    </row>
    <row r="19" customFormat="false" ht="15" hidden="false" customHeight="false" outlineLevel="0" collapsed="false">
      <c r="A19" s="2" t="s">
        <v>97</v>
      </c>
      <c r="B19" s="9" t="n">
        <f aca="false">Model!$G$12</f>
        <v>579.12268578251</v>
      </c>
      <c r="C19" s="9" t="n">
        <f aca="false">Model!$G$26</f>
        <v>868.684028673765</v>
      </c>
      <c r="D19" s="9" t="n">
        <f aca="false">Model!$G$40</f>
        <v>1158.24537156502</v>
      </c>
      <c r="E19" s="9" t="n">
        <f aca="false">Model!$G$22</f>
        <v>868.684028673765</v>
      </c>
      <c r="F19" s="9" t="n">
        <f aca="false">Model!$G$25</f>
        <v>0</v>
      </c>
    </row>
    <row r="20" customFormat="false" ht="15" hidden="false" customHeight="false" outlineLevel="0" collapsed="false">
      <c r="A20" s="2" t="s">
        <v>98</v>
      </c>
      <c r="B20" s="9" t="n">
        <f aca="false">Model!$H$12</f>
        <v>848.675005209035</v>
      </c>
      <c r="C20" s="9" t="n">
        <f aca="false">Model!$H$26</f>
        <v>1273.01250781355</v>
      </c>
      <c r="D20" s="9" t="n">
        <f aca="false">Model!$H$40</f>
        <v>1697.35001041807</v>
      </c>
      <c r="E20" s="9" t="n">
        <f aca="false">Model!$H$22</f>
        <v>1273.01250781355</v>
      </c>
      <c r="F20" s="9" t="n">
        <f aca="false">Model!$H$25</f>
        <v>0</v>
      </c>
    </row>
    <row r="21" customFormat="false" ht="15" hidden="false" customHeight="false" outlineLevel="0" collapsed="false">
      <c r="A21" s="2" t="s">
        <v>99</v>
      </c>
      <c r="B21" s="9" t="n">
        <f aca="false">Model!$I$12</f>
        <v>1539.12355205225</v>
      </c>
      <c r="C21" s="9" t="n">
        <f aca="false">Model!$I$26</f>
        <v>2251.6516788285</v>
      </c>
      <c r="D21" s="9" t="n">
        <f aca="false">Model!$I$40</f>
        <v>2992.87240560475</v>
      </c>
      <c r="E21" s="9" t="n">
        <f aca="false">Model!$I$22</f>
        <v>1751.28893257915</v>
      </c>
      <c r="F21" s="9" t="n">
        <f aca="false">Model!$I$25</f>
        <v>500.362746249353</v>
      </c>
    </row>
    <row r="22" customFormat="false" ht="15" hidden="false" customHeight="false" outlineLevel="0" collapsed="false">
      <c r="A22" s="2" t="s">
        <v>100</v>
      </c>
      <c r="B22" s="9" t="n">
        <f aca="false">Model!$J$12</f>
        <v>2525.33126422351</v>
      </c>
      <c r="C22" s="9" t="n">
        <f aca="false">Model!$J$26</f>
        <v>3660.36348687969</v>
      </c>
      <c r="D22" s="9" t="n">
        <f aca="false">Model!$J$40</f>
        <v>4900.69755153586</v>
      </c>
      <c r="E22" s="9" t="n">
        <f aca="false">Model!$J$22</f>
        <v>2318.51042460177</v>
      </c>
      <c r="F22" s="9" t="n">
        <f aca="false">Model!$J$25</f>
        <v>1341.85306227792</v>
      </c>
    </row>
    <row r="23" customFormat="false" ht="15" hidden="false" customHeight="false" outlineLevel="0" collapsed="false">
      <c r="A23" s="2" t="s">
        <v>101</v>
      </c>
      <c r="B23" s="9" t="n">
        <f aca="false">Model!$K$12</f>
        <v>3090.51156533545</v>
      </c>
      <c r="C23" s="9" t="n">
        <f aca="false">Model!$K$26</f>
        <v>4618.0669405716</v>
      </c>
      <c r="D23" s="9" t="n">
        <f aca="false">Model!$K$40</f>
        <v>6402.99206854775</v>
      </c>
      <c r="E23" s="9" t="n">
        <f aca="false">Model!$K$22</f>
        <v>2992.66730386372</v>
      </c>
      <c r="F23" s="9" t="n">
        <f aca="false">Model!$K$25</f>
        <v>1625.39963670788</v>
      </c>
    </row>
    <row r="24" customFormat="false" ht="15" hidden="false" customHeight="false" outlineLevel="0" collapsed="false">
      <c r="A24" s="2" t="s">
        <v>102</v>
      </c>
      <c r="B24" s="9" t="n">
        <f aca="false">Model!$L$12</f>
        <v>3621.83239722883</v>
      </c>
      <c r="C24" s="9" t="n">
        <f aca="false">Model!$L$26</f>
        <v>5626.91434057126</v>
      </c>
      <c r="D24" s="9" t="n">
        <f aca="false">Model!$L$40</f>
        <v>8155.80273707148</v>
      </c>
      <c r="E24" s="9" t="n">
        <f aca="false">Model!$L$22</f>
        <v>3795.34191514781</v>
      </c>
      <c r="F24" s="9" t="n">
        <f aca="false">Model!$L$25</f>
        <v>1831.57242542345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6" min="2" style="0" width="14"/>
  </cols>
  <sheetData>
    <row r="1" customFormat="false" ht="17.35" hidden="false" customHeight="false" outlineLevel="0" collapsed="false">
      <c r="A1" s="1" t="s">
        <v>103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104</v>
      </c>
      <c r="B3" s="2"/>
      <c r="C3" s="2"/>
      <c r="D3" s="2"/>
      <c r="E3" s="2"/>
      <c r="F3" s="2"/>
    </row>
    <row r="4" customFormat="false" ht="15" hidden="false" customHeight="false" outlineLevel="0" collapsed="false">
      <c r="A4" s="2" t="s">
        <v>105</v>
      </c>
      <c r="B4" s="8" t="n">
        <v>0.1</v>
      </c>
      <c r="C4" s="8" t="n">
        <v>0.15</v>
      </c>
      <c r="D4" s="8" t="n">
        <v>0.2</v>
      </c>
      <c r="E4" s="8" t="n">
        <v>0.25</v>
      </c>
      <c r="F4" s="8" t="n">
        <v>0.3</v>
      </c>
    </row>
    <row r="5" customFormat="false" ht="15" hidden="false" customHeight="false" outlineLevel="0" collapsed="false">
      <c r="A5" s="2" t="s">
        <v>106</v>
      </c>
      <c r="B5" s="9" t="n">
        <f aca="false">Model!$G$19*(1+B$4)</f>
        <v>1626900</v>
      </c>
      <c r="C5" s="9" t="n">
        <f aca="false">Model!$G$19*(1+C$4)</f>
        <v>1700850</v>
      </c>
      <c r="D5" s="9" t="n">
        <f aca="false">Model!$G$19*(1+D$4)</f>
        <v>1774800</v>
      </c>
      <c r="E5" s="9" t="n">
        <f aca="false">Model!$G$19*(1+E$4)</f>
        <v>1848750</v>
      </c>
      <c r="F5" s="9" t="n">
        <f aca="false">Model!$G$19*(1+F$4)</f>
        <v>1922700</v>
      </c>
    </row>
    <row r="6" customFormat="false" ht="15" hidden="false" customHeight="false" outlineLevel="0" collapsed="false">
      <c r="A6" s="2" t="s">
        <v>107</v>
      </c>
      <c r="B6" s="9" t="n">
        <f aca="false">B5*(1+B$4)</f>
        <v>1789590</v>
      </c>
      <c r="C6" s="9" t="n">
        <f aca="false">C5*(1+C$4)</f>
        <v>1955977.5</v>
      </c>
      <c r="D6" s="9" t="n">
        <f aca="false">D5*(1+D$4)</f>
        <v>2129760</v>
      </c>
      <c r="E6" s="9" t="n">
        <f aca="false">E5*(1+E$4)</f>
        <v>2310937.5</v>
      </c>
      <c r="F6" s="9" t="n">
        <f aca="false">F5*(1+F$4)</f>
        <v>2499510</v>
      </c>
    </row>
    <row r="7" customFormat="false" ht="15" hidden="false" customHeight="false" outlineLevel="0" collapsed="false">
      <c r="A7" s="2" t="s">
        <v>108</v>
      </c>
      <c r="B7" s="9" t="n">
        <f aca="false">B6*(1+B$4)</f>
        <v>1968549</v>
      </c>
      <c r="C7" s="9" t="n">
        <f aca="false">C6*(1+C$4)</f>
        <v>2249374.125</v>
      </c>
      <c r="D7" s="9" t="n">
        <f aca="false">D6*(1+D$4)</f>
        <v>2555712</v>
      </c>
      <c r="E7" s="9" t="n">
        <f aca="false">E6*(1+E$4)</f>
        <v>2888671.875</v>
      </c>
      <c r="F7" s="9" t="n">
        <f aca="false">F6*(1+F$4)</f>
        <v>3249363</v>
      </c>
    </row>
    <row r="8" customFormat="false" ht="15" hidden="false" customHeight="false" outlineLevel="0" collapsed="false">
      <c r="A8" s="2" t="s">
        <v>109</v>
      </c>
      <c r="B8" s="9" t="n">
        <f aca="false">B7*(1+B$4)</f>
        <v>2165403.9</v>
      </c>
      <c r="C8" s="9" t="n">
        <f aca="false">C7*(1+C$4)</f>
        <v>2586780.24375</v>
      </c>
      <c r="D8" s="9" t="n">
        <f aca="false">D7*(1+D$4)</f>
        <v>3066854.4</v>
      </c>
      <c r="E8" s="9" t="n">
        <f aca="false">E7*(1+E$4)</f>
        <v>3610839.84375</v>
      </c>
      <c r="F8" s="9" t="n">
        <f aca="false">F7*(1+F$4)</f>
        <v>4224171.9</v>
      </c>
    </row>
    <row r="9" customFormat="false" ht="15" hidden="false" customHeight="false" outlineLevel="0" collapsed="false">
      <c r="A9" s="2" t="s">
        <v>110</v>
      </c>
      <c r="B9" s="9" t="n">
        <f aca="false">B8*(1+B$4)</f>
        <v>2381944.29</v>
      </c>
      <c r="C9" s="9" t="n">
        <f aca="false">C8*(1+C$4)</f>
        <v>2974797.2803125</v>
      </c>
      <c r="D9" s="9" t="n">
        <f aca="false">D8*(1+D$4)</f>
        <v>3680225.28</v>
      </c>
      <c r="E9" s="9" t="n">
        <f aca="false">E8*(1+E$4)</f>
        <v>4513549.8046875</v>
      </c>
      <c r="F9" s="9" t="n">
        <f aca="false">F8*(1+F$4)</f>
        <v>5491423.47</v>
      </c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</row>
    <row r="11" customFormat="false" ht="15" hidden="false" customHeight="false" outlineLevel="0" collapsed="false">
      <c r="A11" s="2" t="s">
        <v>111</v>
      </c>
      <c r="B11" s="9" t="n">
        <f aca="false">Model!$G$20*(1-Inputs!$B$18)+B5</f>
        <v>5870275.02604517</v>
      </c>
      <c r="C11" s="9" t="n">
        <f aca="false">Model!$G$20*(1-Inputs!$B$18)+C5</f>
        <v>5944225.02604517</v>
      </c>
      <c r="D11" s="9" t="n">
        <f aca="false">Model!$G$20*(1-Inputs!$B$18)+D5</f>
        <v>6018175.02604517</v>
      </c>
      <c r="E11" s="9" t="n">
        <f aca="false">Model!$G$20*(1-Inputs!$B$18)+E5</f>
        <v>6092125.02604517</v>
      </c>
      <c r="F11" s="9" t="n">
        <f aca="false">Model!$G$20*(1-Inputs!$B$18)+F5</f>
        <v>6166075.02604517</v>
      </c>
    </row>
    <row r="12" customFormat="false" ht="15" hidden="false" customHeight="false" outlineLevel="0" collapsed="false">
      <c r="A12" s="2" t="s">
        <v>112</v>
      </c>
      <c r="B12" s="9" t="n">
        <f aca="false">B11*(1-Inputs!$B$18)+B6</f>
        <v>7483756.77526382</v>
      </c>
      <c r="C12" s="9" t="n">
        <f aca="false">C11*(1-Inputs!$B$18)+C6</f>
        <v>7721875.77526382</v>
      </c>
      <c r="D12" s="9" t="n">
        <f aca="false">D11*(1-Inputs!$B$18)+D6</f>
        <v>7967389.77526382</v>
      </c>
      <c r="E12" s="9" t="n">
        <f aca="false">E11*(1-Inputs!$B$18)+E6</f>
        <v>8220298.77526382</v>
      </c>
      <c r="F12" s="9" t="n">
        <f aca="false">F11*(1-Inputs!$B$18)+F6</f>
        <v>8480602.77526382</v>
      </c>
    </row>
    <row r="13" customFormat="false" ht="15" hidden="false" customHeight="false" outlineLevel="0" collapsed="false">
      <c r="A13" s="2" t="s">
        <v>113</v>
      </c>
      <c r="B13" s="9" t="n">
        <f aca="false">B12*(1-Inputs!$B$18)+B7</f>
        <v>9227793.0720059</v>
      </c>
      <c r="C13" s="9" t="n">
        <f aca="false">C12*(1-Inputs!$B$18)+C7</f>
        <v>9739593.6270059</v>
      </c>
      <c r="D13" s="9" t="n">
        <f aca="false">D12*(1-Inputs!$B$18)+D7</f>
        <v>10284080.0820059</v>
      </c>
      <c r="E13" s="9" t="n">
        <f aca="false">E12*(1-Inputs!$B$18)+E7</f>
        <v>10862361.6870059</v>
      </c>
      <c r="F13" s="9" t="n">
        <f aca="false">F12*(1-Inputs!$B$18)+F7</f>
        <v>11475547.6920059</v>
      </c>
    </row>
    <row r="14" customFormat="false" ht="15" hidden="false" customHeight="false" outlineLevel="0" collapsed="false">
      <c r="A14" s="2" t="s">
        <v>114</v>
      </c>
      <c r="B14" s="9" t="n">
        <f aca="false">B13*(1-Inputs!$B$18)+B8</f>
        <v>11116363.1798457</v>
      </c>
      <c r="C14" s="9" t="n">
        <f aca="false">C13*(1-Inputs!$B$18)+C8</f>
        <v>12034186.0619457</v>
      </c>
      <c r="D14" s="9" t="n">
        <f aca="false">D13*(1-Inputs!$B$18)+D8</f>
        <v>13042412.0795457</v>
      </c>
      <c r="E14" s="9" t="n">
        <f aca="false">E13*(1-Inputs!$B$18)+E8</f>
        <v>14147330.6801457</v>
      </c>
      <c r="F14" s="9" t="n">
        <f aca="false">F13*(1-Inputs!$B$18)+F8</f>
        <v>15355453.1612457</v>
      </c>
    </row>
    <row r="15" customFormat="false" ht="15" hidden="false" customHeight="false" outlineLevel="0" collapsed="false">
      <c r="A15" s="2" t="s">
        <v>115</v>
      </c>
      <c r="B15" s="9" t="n">
        <f aca="false">B14*(1-Inputs!$B$18)+B9</f>
        <v>13164816.5744504</v>
      </c>
      <c r="C15" s="9" t="n">
        <f aca="false">C14*(1-Inputs!$B$18)+C9</f>
        <v>14647957.7603998</v>
      </c>
      <c r="D15" s="9" t="n">
        <f aca="false">D14*(1-Inputs!$B$18)+D9</f>
        <v>16331364.9971594</v>
      </c>
      <c r="E15" s="9" t="n">
        <f aca="false">E14*(1-Inputs!$B$18)+E9</f>
        <v>18236460.5644289</v>
      </c>
      <c r="F15" s="9" t="n">
        <f aca="false">F14*(1-Inputs!$B$18)+F9</f>
        <v>20386213.0364084</v>
      </c>
    </row>
    <row r="16" customFormat="false" ht="15" hidden="false" customHeight="false" outlineLevel="0" collapsed="false">
      <c r="A16" s="2" t="s">
        <v>116</v>
      </c>
      <c r="B16" s="9" t="n">
        <f aca="false">B15-B9</f>
        <v>10782872.2844504</v>
      </c>
      <c r="C16" s="9" t="n">
        <f aca="false">C15-C9</f>
        <v>11673160.4800874</v>
      </c>
      <c r="D16" s="9" t="n">
        <f aca="false">D15-D9</f>
        <v>12651139.7171594</v>
      </c>
      <c r="E16" s="9" t="n">
        <f aca="false">E15-E9</f>
        <v>13722910.7597414</v>
      </c>
      <c r="F16" s="9" t="n">
        <f aca="false">F15-F9</f>
        <v>14894789.5664084</v>
      </c>
    </row>
    <row r="17" customFormat="false" ht="15" hidden="false" customHeight="false" outlineLevel="0" collapsed="false">
      <c r="A17" s="2" t="s">
        <v>117</v>
      </c>
      <c r="B17" s="9" t="n">
        <f aca="false">Model!$L$25</f>
        <v>1831.57242542345</v>
      </c>
      <c r="C17" s="2"/>
      <c r="D17" s="2"/>
      <c r="E17" s="2"/>
      <c r="F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</row>
    <row r="19" customFormat="false" ht="15" hidden="false" customHeight="false" outlineLevel="0" collapsed="false">
      <c r="A19" s="3" t="s">
        <v>118</v>
      </c>
      <c r="B19" s="19" t="n">
        <f aca="false">B4</f>
        <v>0.1</v>
      </c>
      <c r="C19" s="19" t="n">
        <f aca="false">C4</f>
        <v>0.15</v>
      </c>
      <c r="D19" s="19" t="n">
        <f aca="false">D4</f>
        <v>0.2</v>
      </c>
      <c r="E19" s="19" t="n">
        <f aca="false">E4</f>
        <v>0.25</v>
      </c>
      <c r="F19" s="19" t="n">
        <f aca="false">F4</f>
        <v>0.3</v>
      </c>
    </row>
    <row r="20" customFormat="false" ht="15" hidden="false" customHeight="false" outlineLevel="0" collapsed="false">
      <c r="A20" s="7" t="n">
        <v>2000</v>
      </c>
      <c r="B20" s="9" t="n">
        <f aca="false">B$16*$A20/10^7+$B$17</f>
        <v>3988.14688231352</v>
      </c>
      <c r="C20" s="9" t="n">
        <f aca="false">C$16*$A20/10^7+$B$17</f>
        <v>4166.20452144092</v>
      </c>
      <c r="D20" s="9" t="n">
        <f aca="false">D$16*$A20/10^7+$B$17</f>
        <v>4361.80036885532</v>
      </c>
      <c r="E20" s="9" t="n">
        <f aca="false">E$16*$A20/10^7+$B$17</f>
        <v>4576.15457737172</v>
      </c>
      <c r="F20" s="9" t="n">
        <f aca="false">F$16*$A20/10^7+$B$17</f>
        <v>4810.53033870512</v>
      </c>
    </row>
    <row r="21" customFormat="false" ht="15" hidden="false" customHeight="false" outlineLevel="0" collapsed="false">
      <c r="A21" s="7" t="n">
        <v>2500</v>
      </c>
      <c r="B21" s="9" t="n">
        <f aca="false">B$16*$A21/10^7+$B$17</f>
        <v>4527.29049653604</v>
      </c>
      <c r="C21" s="9" t="n">
        <f aca="false">C$16*$A21/10^7+$B$17</f>
        <v>4749.86254544529</v>
      </c>
      <c r="D21" s="9" t="n">
        <f aca="false">D$16*$A21/10^7+$B$17</f>
        <v>4994.35735471329</v>
      </c>
      <c r="E21" s="9" t="n">
        <f aca="false">E$16*$A21/10^7+$B$17</f>
        <v>5262.30011535879</v>
      </c>
      <c r="F21" s="9" t="n">
        <f aca="false">F$16*$A21/10^7+$B$17</f>
        <v>5555.26981702554</v>
      </c>
    </row>
    <row r="22" customFormat="false" ht="15" hidden="false" customHeight="false" outlineLevel="0" collapsed="false">
      <c r="A22" s="7" t="n">
        <v>3000</v>
      </c>
      <c r="B22" s="9" t="n">
        <f aca="false">B$16*$A22/10^7+$B$17</f>
        <v>5066.43411075856</v>
      </c>
      <c r="C22" s="9" t="n">
        <f aca="false">C$16*$A22/10^7+$B$17</f>
        <v>5333.52056944965</v>
      </c>
      <c r="D22" s="9" t="n">
        <f aca="false">D$16*$A22/10^7+$B$17</f>
        <v>5626.91434057126</v>
      </c>
      <c r="E22" s="9" t="n">
        <f aca="false">E$16*$A22/10^7+$B$17</f>
        <v>5948.44565334585</v>
      </c>
      <c r="F22" s="9" t="n">
        <f aca="false">F$16*$A22/10^7+$B$17</f>
        <v>6300.00929534596</v>
      </c>
    </row>
    <row r="23" customFormat="false" ht="15" hidden="false" customHeight="false" outlineLevel="0" collapsed="false">
      <c r="A23" s="7" t="n">
        <v>3500</v>
      </c>
      <c r="B23" s="9" t="n">
        <f aca="false">B$16*$A23/10^7+$B$17</f>
        <v>5605.57772498107</v>
      </c>
      <c r="C23" s="9" t="n">
        <f aca="false">C$16*$A23/10^7+$B$17</f>
        <v>5917.17859345402</v>
      </c>
      <c r="D23" s="9" t="n">
        <f aca="false">D$16*$A23/10^7+$B$17</f>
        <v>6259.47132642922</v>
      </c>
      <c r="E23" s="9" t="n">
        <f aca="false">E$16*$A23/10^7+$B$17</f>
        <v>6634.59119133292</v>
      </c>
      <c r="F23" s="9" t="n">
        <f aca="false">F$16*$A23/10^7+$B$17</f>
        <v>7044.74877366637</v>
      </c>
    </row>
    <row r="24" customFormat="false" ht="15" hidden="false" customHeight="false" outlineLevel="0" collapsed="false">
      <c r="A24" s="7" t="n">
        <v>4000</v>
      </c>
      <c r="B24" s="9" t="n">
        <f aca="false">B$16*$A24/10^7+$B$17</f>
        <v>6144.72133920359</v>
      </c>
      <c r="C24" s="9" t="n">
        <f aca="false">C$16*$A24/10^7+$B$17</f>
        <v>6500.83661745839</v>
      </c>
      <c r="D24" s="9" t="n">
        <f aca="false">D$16*$A24/10^7+$B$17</f>
        <v>6892.02831228719</v>
      </c>
      <c r="E24" s="9" t="n">
        <f aca="false">E$16*$A24/10^7+$B$17</f>
        <v>7320.73672931999</v>
      </c>
      <c r="F24" s="9" t="n">
        <f aca="false">F$16*$A24/10^7+$B$17</f>
        <v>7789.48825198679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2026-10-16T12:50:18Z</dcterms:created>
  <dc:creator>openpyxl</dc:creator>
  <dc:description/>
  <dc:language>en-US</dc:language>
  <cp:lastModifiedBy/>
  <dcterms:modified xsi:type="dcterms:W3CDTF">2026-10-16T12:50:22Z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